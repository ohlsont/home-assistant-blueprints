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ns0:workbook xmlns:ns0="http://schemas.openxmlformats.org/spreadsheetml/2006/main" xmlns:r="http://schemas.openxmlformats.org/officeDocument/2006/relationships">
  <ns0:bookViews>
    <ns0:workbookView xWindow="0" yWindow="40" windowWidth="15960" windowHeight="18080"/>
  </ns0:bookViews>
  <ns0:sheets>
    <ns0:sheet name="Export Summary" sheetId="1" r:id="rId4"/>
    <ns0:sheet name="Legacy - Graph Special Cases" sheetId="2" r:id="rId5"/>
    <ns0:sheet name="Legacy - Graph Main Scenarios" sheetId="3" r:id="rId6"/>
    <ns0:sheet name="Legacy - Scenario Matrix" sheetId="4" r:id="rId7"/>
    <ns0:sheet name="Inputs" sheetId="5" r:id="rId8"/>
    <ns0:sheet name="Simulation" sheetId="6" r:id="rId9"/>
    <ns0:sheet name="Graphs" sheetId="7" r:id="rId10"/>
  </ns0:sheets>
  <ns0:calcPr calcId="124519" fullCalcOnLoad="1"/>
</ns0:workbook>
</file>

<file path=xl/sharedStrings.xml><?xml version="1.0" encoding="utf-8"?>
<sst xmlns="http://schemas.openxmlformats.org/spreadsheetml/2006/main" uniqueCount="59">
  <si>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</si>
  <si>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</si>
  <si>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</si>
  <si>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</si>
  <si>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Graph - Special Cases</t>
  </si>
  <si>
    <t>Fundraiser Results by Salesperson</t>
  </si>
  <si>
    <t>Legacy - Graph Special Cases</t>
  </si>
  <si>
    <t>Special Case</t>
  </si>
  <si>
    <t>Target Final C</t>
  </si>
  <si>
    <t>S5 Fallback arm</t>
  </si>
  <si>
    <t>S6 Fallback release</t>
  </si>
  <si>
    <t>S7 Deadband</t>
  </si>
  <si>
    <t>Graph - Main Scenarios</t>
  </si>
  <si>
    <t>Comparison of Units Sold by Year</t>
  </si>
  <si>
    <t>Legacy - Graph Main Scenarios</t>
  </si>
  <si>
    <t>Outdoor C</t>
  </si>
  <si>
    <t>S1 Expensive</t>
  </si>
  <si>
    <t>S2 Cheap Unsatisfied</t>
  </si>
  <si>
    <t>S3 Cheap Storage Needs Heat</t>
  </si>
  <si>
    <t>Scenario Matrix</t>
  </si>
  <si>
    <t>Total Sales by Salespeople and Units Sold</t>
  </si>
  <si>
    <t>Legacy - Scenario Matrix</t>
  </si>
  <si>
    <t>Scenario</t>
  </si>
  <si>
    <t>blocked_now</t>
  </si>
  <si>
    <t>energy_saving</t>
  </si>
  <si>
    <t>fallback_state</t>
  </si>
  <si>
    <t>selected_source</t>
  </si>
  <si>
    <t>target_saving</t>
  </si>
  <si>
    <t>target_comfort (branch)</t>
  </si>
  <si>
    <t>target_final</t>
  </si>
  <si>
    <t>control_write</t>
  </si>
  <si>
    <t>heatpump_signal</t>
  </si>
  <si>
    <t>on</t>
  </si>
  <si>
    <t>off</t>
  </si>
  <si>
    <t>saving target helper</t>
  </si>
  <si>
    <t>19.0</t>
  </si>
  <si>
    <t>17.0 (unsatisfied)</t>
  </si>
  <si>
    <t>Yes</t>
  </si>
  <si>
    <t>19.0 (unsatisfied)</t>
  </si>
  <si>
    <t>20.0 (unsatisfied)</t>
  </si>
  <si>
    <t>20.0</t>
  </si>
  <si>
    <t>S2 Cheap + comfort unsatisfied</t>
  </si>
  <si>
    <t>comfort target helper</t>
  </si>
  <si>
    <t>17.0</t>
  </si>
  <si>
    <t>S3 Cheap + storage needs heat</t>
  </si>
  <si>
    <t>20.0 (satisfied+storage_needs_heat)</t>
  </si>
  <si>
    <t>22.0 (satisfied+storage_needs_heat)</t>
  </si>
  <si>
    <t>22.0</t>
  </si>
  <si>
    <t>23.0 (satisfied+storage_needs_heat)</t>
  </si>
  <si>
    <t>23.0</t>
  </si>
  <si>
    <t>S4 Cheap + storage OK</t>
  </si>
  <si>
    <t>20.0 (satisfied+storage_ok)</t>
  </si>
  <si>
    <t>on (armed)</t>
  </si>
  <si>
    <t>fallback minimum clamp</t>
  </si>
  <si>
    <t>10.0</t>
  </si>
  <si>
    <t>off (released)</t>
  </si>
  <si>
    <t>S7 Deadband (&lt;0.2)</t>
  </si>
  <si>
    <t>No</t>
  </si>
  <si>
    <t>No write</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</si>
</sst>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12"/>
      <color indexed="17"/>
      <name val="Helvetica Neue"/>
    </font>
    <font>
      <b val="1"/>
      <sz val="14"/>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31">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3" fontId="0" borderId="3" applyNumberFormat="1" applyFont="1" applyFill="0" applyBorder="1" applyAlignment="1" applyProtection="0">
      <alignment vertical="top" wrapText="1"/>
    </xf>
    <xf numFmtId="49" fontId="4" fillId="5" borderId="4" applyNumberFormat="1" applyFont="1" applyFill="1" applyBorder="1" applyAlignment="1" applyProtection="0">
      <alignment vertical="top" wrapText="1"/>
    </xf>
    <xf numFmtId="3" fontId="0" fillId="6" borderId="5" applyNumberFormat="1" applyFont="1" applyFill="1" applyBorder="1" applyAlignment="1" applyProtection="0">
      <alignment vertical="top" wrapText="1"/>
    </xf>
    <xf numFmtId="3" fontId="0" borderId="5"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4" fillId="4" borderId="1" applyNumberFormat="1" applyFont="1" applyFill="1" applyBorder="1" applyAlignment="1" applyProtection="0">
      <alignment horizontal="center" vertical="top" wrapText="1"/>
    </xf>
    <xf numFmtId="0" fontId="4" fillId="5" borderId="2" applyNumberFormat="1" applyFont="1" applyFill="1" applyBorder="1" applyAlignment="1" applyProtection="0">
      <alignment vertical="top" wrapText="1"/>
    </xf>
    <xf numFmtId="1" fontId="0" borderId="3" applyNumberFormat="1" applyFont="1" applyFill="0" applyBorder="1" applyAlignment="1" applyProtection="0">
      <alignment horizontal="center" vertical="top" wrapText="1"/>
    </xf>
    <xf numFmtId="1" fontId="0" borderId="6" applyNumberFormat="1" applyFont="1" applyFill="0" applyBorder="1" applyAlignment="1" applyProtection="0">
      <alignment horizontal="center" vertical="top" wrapText="1"/>
    </xf>
    <xf numFmtId="0" fontId="4" fillId="5" borderId="4" applyNumberFormat="1" applyFont="1" applyFill="1" applyBorder="1" applyAlignment="1" applyProtection="0">
      <alignment vertical="top" wrapText="1"/>
    </xf>
    <xf numFmtId="1" fontId="0" fillId="6" borderId="5" applyNumberFormat="1" applyFont="1" applyFill="1" applyBorder="1" applyAlignment="1" applyProtection="0">
      <alignment horizontal="center" vertical="top" wrapText="1"/>
    </xf>
    <xf numFmtId="1" fontId="0" fillId="6" borderId="7" applyNumberFormat="1" applyFont="1" applyFill="1" applyBorder="1" applyAlignment="1" applyProtection="0">
      <alignment horizontal="center" vertical="top" wrapText="1"/>
    </xf>
    <xf numFmtId="1" fontId="0" borderId="5" applyNumberFormat="1" applyFont="1" applyFill="0" applyBorder="1" applyAlignment="1" applyProtection="0">
      <alignment horizontal="center" vertical="top" wrapText="1"/>
    </xf>
    <xf numFmtId="1" fontId="0" borderId="7" applyNumberFormat="1" applyFont="1" applyFill="0" applyBorder="1" applyAlignment="1" applyProtection="0">
      <alignment horizontal="center" vertical="top" wrapText="1"/>
    </xf>
    <xf numFmtId="0" fontId="0" applyNumberFormat="1" applyFont="1" applyFill="0" applyBorder="0" applyAlignment="1" applyProtection="0">
      <alignment vertical="top" wrapText="1"/>
    </xf>
    <xf numFmtId="49" fontId="0" borderId="6" applyNumberFormat="1" applyFont="1" applyFill="0" applyBorder="1" applyAlignment="1" applyProtection="0">
      <alignment horizontal="center" vertical="top" wrapText="1"/>
    </xf>
    <xf numFmtId="0" fontId="0" borderId="6" applyNumberFormat="1" applyFont="1" applyFill="0" applyBorder="1" applyAlignment="1" applyProtection="0">
      <alignment horizontal="center" vertical="top" wrapText="1"/>
    </xf>
    <xf numFmtId="49" fontId="0" fillId="6" borderId="7" applyNumberFormat="1" applyFont="1" applyFill="1" applyBorder="1" applyAlignment="1" applyProtection="0">
      <alignment horizontal="center" vertical="top" wrapText="1"/>
    </xf>
    <xf numFmtId="0" fontId="0" fillId="6" borderId="7" applyNumberFormat="1" applyFont="1" applyFill="1" applyBorder="1" applyAlignment="1" applyProtection="0">
      <alignment horizontal="center" vertical="top" wrapText="1"/>
    </xf>
    <xf numFmtId="49" fontId="0" borderId="7" applyNumberFormat="1" applyFont="1" applyFill="0" applyBorder="1" applyAlignment="1" applyProtection="0">
      <alignment horizontal="center" vertical="top" wrapText="1"/>
    </xf>
    <xf numFmtId="0" fontId="0" borderId="7" applyNumberFormat="1" applyFont="1" applyFill="0"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fff4f4f4"/>
      <rgbColor rgb="fffefffe"/>
      <rgbColor rgb="ffb8b8b8"/>
      <rgbColor rgb="ff91919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 Id="rId5" Type="http://schemas.openxmlformats.org/officeDocument/2006/relationships/worksheet" Target="worksheets/sheet2.xml" /><Relationship Id="rId6" Type="http://schemas.openxmlformats.org/officeDocument/2006/relationships/worksheet" Target="worksheets/sheet3.xml" /><Relationship Id="rId7" Type="http://schemas.openxmlformats.org/officeDocument/2006/relationships/worksheet" Target="worksheets/sheet4.xml" /><Relationship Id="rId8" Type="http://schemas.openxmlformats.org/officeDocument/2006/relationships/worksheet" Target="worksheets/sheet5.xml" /><Relationship Id="rId9" Type="http://schemas.openxmlformats.org/officeDocument/2006/relationships/worksheet" Target="worksheets/sheet6.xml" /><Relationship Id="rId10" Type="http://schemas.openxmlformats.org/officeDocument/2006/relationships/worksheet" Target="worksheets/sheet7.xml" /></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Column Chart</a:t>
            </a:r>
          </a:p>
        </c:rich>
      </c:tx>
      <c:layout>
        <c:manualLayout>
          <c:xMode val="edge"/>
          <c:yMode val="edge"/>
          <c:x val="0.386817"/>
          <c:y val="0"/>
          <c:w val="0.226365"/>
          <c:h val="0.106464"/>
        </c:manualLayout>
      </c:layout>
      <c:overlay val="1"/>
      <c:spPr>
        <a:noFill/>
        <a:effectLst/>
      </c:spPr>
    </c:title>
    <c:autoTitleDeleted val="1"/>
    <c:plotArea>
      <c:layout>
        <c:manualLayout>
          <c:layoutTarget val="inner"/>
          <c:xMode val="edge"/>
          <c:yMode val="edge"/>
          <c:x val="0.0695418"/>
          <c:y val="0.106464"/>
          <c:w val="0.925458"/>
          <c:h val="0.792771"/>
        </c:manualLayout>
      </c:layout>
      <c:barChart>
        <c:barDir val="col"/>
        <c:grouping val="clustered"/>
        <c:varyColors val="0"/>
        <c:ser>
          <c:idx val="0"/>
          <c:order val="0"/>
          <c:tx>
            <c:strRef>
              <c:f>'Legacy - Graph Special Cases'!$C$2</c:f>
              <c:strCache>
                <c:ptCount val="1"/>
                <c:pt idx="0">
                  <c:v>Target Final C</c:v>
                </c:pt>
              </c:strCache>
            </c:strRef>
          </c:tx>
          <c:spPr>
            <a:solidFill>
              <a:schemeClr val="accent1"/>
            </a:solidFill>
            <a:ln w="12700" cap="flat">
              <a:noFill/>
              <a:miter lim="400000"/>
            </a:ln>
            <a:effectLst/>
          </c:spPr>
          <c:invertIfNegative val="0"/>
          <c:dPt>
            <c:idx val="0"/>
            <c:spPr>
              <a:solidFill>
                <a:schemeClr val="accent1"/>
              </a:solidFill>
              <a:ln w="12700" cap="flat">
                <a:noFill/>
                <a:miter lim="400000"/>
              </a:ln>
              <a:effectLst/>
            </c:spPr>
          </c:dPt>
          <c:dPt>
            <c:idx val="1"/>
            <c:spPr>
              <a:solidFill>
                <a:schemeClr val="accent3"/>
              </a:solidFill>
              <a:ln w="12700" cap="flat">
                <a:noFill/>
                <a:miter lim="400000"/>
              </a:ln>
              <a:effectLst/>
            </c:spPr>
          </c:dPt>
          <c:dPt>
            <c:idx val="2"/>
            <c:spPr>
              <a:solidFill>
                <a:srgbClr val="929292"/>
              </a:solidFill>
              <a:ln w="12700" cap="flat">
                <a:noFill/>
                <a:miter lim="400000"/>
              </a:ln>
              <a:effectLst/>
            </c:spPr>
          </c:dPt>
          <c:dLbls>
            <c:dLbl>
              <c:idx val="0"/>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dLbl>
            <c:dLbl>
              <c:idx val="1"/>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dLbl>
            <c:dLbl>
              <c:idx val="2"/>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dLbl>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cat>
            <c:strRef>
              <c:f>'Legacy - Graph Special Cases'!$B$3:$B$5</c:f>
              <c:strCache>
                <c:ptCount val="3"/>
                <c:pt idx="0">
                  <c:v>S5 Fallback arm</c:v>
                </c:pt>
                <c:pt idx="1">
                  <c:v>S6 Fallback release</c:v>
                </c:pt>
                <c:pt idx="2">
                  <c:v>S7 Deadband</c:v>
                </c:pt>
              </c:strCache>
            </c:strRef>
          </c:cat>
          <c:val>
            <c:numRef>
              <c:f>'Legacy - Graph Special Cases'!$C$3:$C$5</c:f>
              <c:numCache>
                <c:ptCount val="3"/>
                <c:pt idx="0">
                  <c:v>10.000000</c:v>
                </c:pt>
                <c:pt idx="1">
                  <c:v>20.000000</c:v>
                </c:pt>
                <c:pt idx="2">
                  <c:v>20.000000</c:v>
                </c:pt>
              </c:numCache>
            </c:numRef>
          </c:val>
        </c:ser>
        <c:gapWidth val="10"/>
        <c:overlap val="-40"/>
        <c:axId val="2094734552"/>
        <c:axId val="2094734553"/>
      </c:bar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5"/>
        <c:minorUnit val="2.5"/>
      </c:valAx>
      <c:spPr>
        <a:noFill/>
        <a:ln w="12700" cap="flat">
          <a:noFill/>
          <a:miter lim="400000"/>
        </a:ln>
        <a:effectLst/>
      </c:spPr>
    </c:plotArea>
    <c:plotVisOnly val="0"/>
    <c:dispBlanksAs val="gap"/>
  </c:chart>
  <c:spPr>
    <a:noFill/>
    <a:ln>
      <a:noFill/>
    </a:ln>
    <a:effectLst/>
  </c:spPr>
</c:chartSpace>
</file>

<file path=xl/charts/chart2.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Bar Chart</a:t>
            </a:r>
          </a:p>
        </c:rich>
      </c:tx>
      <c:layout>
        <c:manualLayout>
          <c:xMode val="edge"/>
          <c:yMode val="edge"/>
          <c:x val="0.435108"/>
          <c:y val="0"/>
          <c:w val="0.129785"/>
          <c:h val="0.108977"/>
        </c:manualLayout>
      </c:layout>
      <c:overlay val="1"/>
      <c:spPr>
        <a:noFill/>
        <a:effectLst/>
      </c:spPr>
    </c:title>
    <c:autoTitleDeleted val="1"/>
    <c:plotArea>
      <c:layout>
        <c:manualLayout>
          <c:layoutTarget val="inner"/>
          <c:xMode val="edge"/>
          <c:yMode val="edge"/>
          <c:x val="0.249703"/>
          <c:y val="0.108977"/>
          <c:w val="0.735041"/>
          <c:h val="0.811786"/>
        </c:manualLayout>
      </c:layout>
      <c:barChart>
        <c:barDir val="bar"/>
        <c:grouping val="clustered"/>
        <c:varyColors val="0"/>
        <c:ser>
          <c:idx val="0"/>
          <c:order val="0"/>
          <c:tx>
            <c:strRef>
              <c:f>'Legacy - Graph Special Cases'!$C$2</c:f>
              <c:strCache>
                <c:ptCount val="1"/>
                <c:pt idx="0">
                  <c:v>Target Final C</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1"/>
            <c:showCatName val="0"/>
            <c:showSerName val="0"/>
            <c:showPercent val="0"/>
            <c:showBubbleSize val="0"/>
            <c:showLeaderLines val="0"/>
          </c:dLbls>
          <c:cat>
            <c:strRef>
              <c:f>'Legacy - Graph Special Cases'!$B$3,'Legacy - Graph Special Cases'!$B$4,'Legacy - Graph Special Cases'!$B$5</c:f>
              <c:strCache>
                <c:ptCount val="3"/>
                <c:pt idx="0">
                  <c:v>S5 Fallback arm</c:v>
                </c:pt>
                <c:pt idx="1">
                  <c:v>S6 Fallback release</c:v>
                </c:pt>
                <c:pt idx="2">
                  <c:v>S7 Deadband</c:v>
                </c:pt>
              </c:strCache>
            </c:strRef>
          </c:cat>
          <c:val>
            <c:numRef>
              <c:f>'Legacy - Graph Special Cases'!$C$3:$C$5</c:f>
              <c:numCache>
                <c:ptCount val="3"/>
                <c:pt idx="0">
                  <c:v>10.000000</c:v>
                </c:pt>
                <c:pt idx="1">
                  <c:v>20.000000</c:v>
                </c:pt>
                <c:pt idx="2">
                  <c:v>20.000000</c:v>
                </c:pt>
              </c:numCache>
            </c:numRef>
          </c:val>
        </c:ser>
        <c:gapWidth val="40"/>
        <c:overlap val="-10"/>
        <c:axId val="2094734552"/>
        <c:axId val="2094734553"/>
      </c:barChart>
      <c:catAx>
        <c:axId val="2094734552"/>
        <c:scaling>
          <c:orientation val="maxMin"/>
        </c:scaling>
        <c:delete val="0"/>
        <c:axPos val="l"/>
        <c:numFmt formatCode="General" sourceLinked="1"/>
        <c:majorTickMark val="none"/>
        <c:minorTickMark val="none"/>
        <c:tickLblPos val="nextTo"/>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b"/>
        <c:majorGridlines>
          <c:spPr>
            <a:ln w="6350" cap="flat">
              <a:solidFill>
                <a:srgbClr val="B8B8B8"/>
              </a:solidFill>
              <a:prstDash val="solid"/>
              <a:miter lim="400000"/>
            </a:ln>
          </c:spPr>
        </c:majorGridlines>
        <c:numFmt formatCode="General" sourceLinked="1"/>
        <c:majorTickMark val="none"/>
        <c:minorTickMark val="none"/>
        <c:tickLblPos val="high"/>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5"/>
        <c:minorUnit val="2.5"/>
      </c:valAx>
      <c:spPr>
        <a:noFill/>
        <a:ln w="12700" cap="flat">
          <a:noFill/>
          <a:miter lim="400000"/>
        </a:ln>
        <a:effectLst/>
      </c:spPr>
    </c:plotArea>
    <c:plotVisOnly val="1"/>
    <c:dispBlanksAs val="gap"/>
  </c:chart>
  <c:spPr>
    <a:noFill/>
    <a:ln>
      <a:noFill/>
    </a:ln>
    <a:effectLst/>
  </c:spPr>
</c:chartSpace>
</file>

<file path=xl/charts/chart3.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Column Chart</a:t>
            </a:r>
          </a:p>
        </c:rich>
      </c:tx>
      <c:layout>
        <c:manualLayout>
          <c:xMode val="edge"/>
          <c:yMode val="edge"/>
          <c:x val="0.353461"/>
          <c:y val="0"/>
          <c:w val="0.293078"/>
          <c:h val="0.129227"/>
        </c:manualLayout>
      </c:layout>
      <c:overlay val="1"/>
      <c:spPr>
        <a:noFill/>
        <a:effectLst/>
      </c:spPr>
    </c:title>
    <c:autoTitleDeleted val="1"/>
    <c:plotArea>
      <c:layout>
        <c:manualLayout>
          <c:layoutTarget val="inner"/>
          <c:xMode val="edge"/>
          <c:yMode val="edge"/>
          <c:x val="0.0900368"/>
          <c:y val="0.129227"/>
          <c:w val="0.765186"/>
          <c:h val="0.776589"/>
        </c:manualLayout>
      </c:layout>
      <c:barChart>
        <c:barDir val="col"/>
        <c:grouping val="clustered"/>
        <c:varyColors val="0"/>
        <c:ser>
          <c:idx val="0"/>
          <c:order val="0"/>
          <c:tx>
            <c:strRef>
              <c:f>'Legacy - Graph Main Scenarios'!$B$3</c:f>
              <c:strCache>
                <c:ptCount val="1"/>
                <c:pt idx="0">
                  <c:v>-20</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Scenarios'!$C$3:$E$3</c:f>
              <c:numCache>
                <c:ptCount val="3"/>
                <c:pt idx="0">
                  <c:v>19.000000</c:v>
                </c:pt>
                <c:pt idx="1">
                  <c:v>17.000000</c:v>
                </c:pt>
                <c:pt idx="2">
                  <c:v>20.000000</c:v>
                </c:pt>
              </c:numCache>
            </c:numRef>
          </c:val>
        </c:ser>
        <c:ser>
          <c:idx val="1"/>
          <c:order val="1"/>
          <c:tx>
            <c:strRef>
              <c:f>'Legacy - Graph Main Scenarios'!$B$4</c:f>
              <c:strCache>
                <c:ptCount val="1"/>
                <c:pt idx="0">
                  <c:v>-15</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Scenarios'!$C$4:$E$4</c:f>
              <c:numCache>
                <c:ptCount val="3"/>
                <c:pt idx="0">
                  <c:v>19.000000</c:v>
                </c:pt>
                <c:pt idx="1">
                  <c:v>17.000000</c:v>
                </c:pt>
                <c:pt idx="2">
                  <c:v>20.000000</c:v>
                </c:pt>
              </c:numCache>
            </c:numRef>
          </c:val>
        </c:ser>
        <c:ser>
          <c:idx val="2"/>
          <c:order val="2"/>
          <c:tx>
            <c:strRef>
              <c:f>'Legacy - Graph Main Scenarios'!$B$5</c:f>
              <c:strCache>
                <c:ptCount val="1"/>
                <c:pt idx="0">
                  <c:v>-5</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Scenarios'!$C$5:$E$5</c:f>
              <c:numCache>
                <c:ptCount val="3"/>
                <c:pt idx="0">
                  <c:v>19.000000</c:v>
                </c:pt>
                <c:pt idx="1">
                  <c:v>19.000000</c:v>
                </c:pt>
                <c:pt idx="2">
                  <c:v>22.000000</c:v>
                </c:pt>
              </c:numCache>
            </c:numRef>
          </c:val>
        </c:ser>
        <c:gapWidth val="40"/>
        <c:overlap val="-10"/>
        <c:axId val="2094734552"/>
        <c:axId val="2094734553"/>
      </c:bar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5.5"/>
        <c:minorUnit val="2.75"/>
      </c:valAx>
      <c:spPr>
        <a:noFill/>
        <a:ln w="12700" cap="flat">
          <a:noFill/>
          <a:miter lim="400000"/>
        </a:ln>
        <a:effectLst/>
      </c:spPr>
    </c:plotArea>
    <c:plotVisOnly val="1"/>
    <c:dispBlanksAs val="gap"/>
  </c:chart>
  <c:spPr>
    <a:noFill/>
    <a:ln>
      <a:noFill/>
    </a:ln>
    <a:effectLst/>
  </c:spPr>
</c:chartSpace>
</file>

<file path=xl/charts/chart4.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Stacked Column</a:t>
            </a:r>
          </a:p>
        </c:rich>
      </c:tx>
      <c:layout>
        <c:manualLayout>
          <c:xMode val="edge"/>
          <c:yMode val="edge"/>
          <c:x val="0.324812"/>
          <c:y val="0"/>
          <c:w val="0.350591"/>
          <c:h val="0.11416"/>
        </c:manualLayout>
      </c:layout>
      <c:overlay val="1"/>
      <c:spPr>
        <a:noFill/>
        <a:effectLst/>
      </c:spPr>
    </c:title>
    <c:autoTitleDeleted val="1"/>
    <c:plotArea>
      <c:layout>
        <c:manualLayout>
          <c:layoutTarget val="inner"/>
          <c:xMode val="edge"/>
          <c:yMode val="edge"/>
          <c:x val="0.0902332"/>
          <c:y val="0.11416"/>
          <c:w val="0.765021"/>
          <c:h val="0.684587"/>
        </c:manualLayout>
      </c:layout>
      <c:barChart>
        <c:barDir val="col"/>
        <c:grouping val="stacked"/>
        <c:varyColors val="0"/>
        <c:ser>
          <c:idx val="0"/>
          <c:order val="0"/>
          <c:tx>
            <c:strRef>
              <c:f>'Legacy - Graph Main Scenarios'!$B$3</c:f>
              <c:strCache>
                <c:ptCount val="1"/>
                <c:pt idx="0">
                  <c:v>-20</c:v>
                </c:pt>
              </c:strCache>
            </c:strRef>
          </c:tx>
          <c:spPr>
            <a:solidFill>
              <a:schemeClr val="accent1"/>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Scenarios'!$C$3:$E$3</c:f>
              <c:numCache>
                <c:ptCount val="3"/>
                <c:pt idx="0">
                  <c:v>19.000000</c:v>
                </c:pt>
                <c:pt idx="1">
                  <c:v>17.000000</c:v>
                </c:pt>
                <c:pt idx="2">
                  <c:v>20.000000</c:v>
                </c:pt>
              </c:numCache>
            </c:numRef>
          </c:val>
        </c:ser>
        <c:ser>
          <c:idx val="1"/>
          <c:order val="1"/>
          <c:tx>
            <c:strRef>
              <c:f>'Legacy - Graph Main Scenarios'!$B$4</c:f>
              <c:strCache>
                <c:ptCount val="1"/>
                <c:pt idx="0">
                  <c:v>-15</c:v>
                </c:pt>
              </c:strCache>
            </c:strRef>
          </c:tx>
          <c:spPr>
            <a:solidFill>
              <a:schemeClr val="accent3"/>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Scenarios'!$C$4:$E$4</c:f>
              <c:numCache>
                <c:ptCount val="3"/>
                <c:pt idx="0">
                  <c:v>19.000000</c:v>
                </c:pt>
                <c:pt idx="1">
                  <c:v>17.000000</c:v>
                </c:pt>
                <c:pt idx="2">
                  <c:v>20.000000</c:v>
                </c:pt>
              </c:numCache>
            </c:numRef>
          </c:val>
        </c:ser>
        <c:ser>
          <c:idx val="2"/>
          <c:order val="2"/>
          <c:tx>
            <c:strRef>
              <c:f>'Legacy - Graph Main Scenarios'!$B$5</c:f>
              <c:strCache>
                <c:ptCount val="1"/>
                <c:pt idx="0">
                  <c:v>-5</c:v>
                </c:pt>
              </c:strCache>
            </c:strRef>
          </c:tx>
          <c:spPr>
            <a:solidFill>
              <a:srgbClr val="929292"/>
            </a:solidFill>
            <a:ln w="12700" cap="flat">
              <a:noFill/>
              <a:miter lim="400000"/>
            </a:ln>
            <a:effectLst/>
          </c:spPr>
          <c:invertIfNegative val="0"/>
          <c:dLbls>
            <c:numFmt formatCode="0" sourceLinked="1"/>
            <c:txPr>
              <a:bodyPr/>
              <a:lstStyle/>
              <a:p>
                <a:pPr>
                  <a:defRPr b="0" i="0" strike="noStrike" sz="1200" u="none">
                    <a:solidFill>
                      <a:srgbClr val="FFFFFF"/>
                    </a:solidFill>
                    <a:latin typeface="Helvetica Neue"/>
                  </a:defRPr>
                </a:pPr>
              </a:p>
            </c:txPr>
            <c:dLblPos val="inEnd"/>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Scenarios'!$C$5:$E$5</c:f>
              <c:numCache>
                <c:ptCount val="3"/>
                <c:pt idx="0">
                  <c:v>19.000000</c:v>
                </c:pt>
                <c:pt idx="1">
                  <c:v>19.000000</c:v>
                </c:pt>
                <c:pt idx="2">
                  <c:v>22.000000</c:v>
                </c:pt>
              </c:numCache>
            </c:numRef>
          </c:val>
        </c:ser>
        <c:gapWidth val="40"/>
        <c:overlap val="100"/>
        <c:axId val="2094734552"/>
        <c:axId val="2094734553"/>
      </c:bar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between"/>
        <c:majorUnit val="17.5"/>
        <c:minorUnit val="8.75"/>
      </c:valAx>
      <c:spPr>
        <a:noFill/>
        <a:ln w="12700" cap="flat">
          <a:noFill/>
          <a:miter lim="400000"/>
        </a:ln>
        <a:effectLst/>
      </c:spPr>
    </c:plotArea>
    <c:legend>
      <c:legendPos val="b"/>
      <c:layout>
        <c:manualLayout>
          <c:xMode val="edge"/>
          <c:yMode val="edge"/>
          <c:x val="0"/>
          <c:y val="0.934791"/>
          <c:w val="0.890563"/>
          <c:h val="0.0652087"/>
        </c:manualLayout>
      </c:layout>
      <c:overlay val="1"/>
      <c:spPr>
        <a:noFill/>
        <a:ln w="12700" cap="flat">
          <a:noFill/>
          <a:miter lim="400000"/>
        </a:ln>
        <a:effectLst/>
      </c:spPr>
      <c:txPr>
        <a:bodyPr rot="0"/>
        <a:lstStyle/>
        <a:p>
          <a:pPr>
            <a:defRPr b="0" i="0" strike="noStrike" sz="1000" u="none">
              <a:solidFill>
                <a:srgbClr val="000000"/>
              </a:solidFill>
              <a:latin typeface="Helvetica Neue"/>
            </a:defRPr>
          </a:pPr>
        </a:p>
      </c:txPr>
    </c:legend>
    <c:plotVisOnly val="1"/>
    <c:dispBlanksAs val="gap"/>
  </c:chart>
  <c:spPr>
    <a:noFill/>
    <a:ln>
      <a:noFill/>
    </a:ln>
    <a:effectLst/>
  </c:spPr>
</c:chartSpace>
</file>

<file path=xl/charts/chart5.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200" u="none">
                <a:solidFill>
                  <a:srgbClr val="000000"/>
                </a:solidFill>
                <a:latin typeface="Helvetica Neue"/>
              </a:defRPr>
            </a:pPr>
            <a:r>
              <a:rPr b="0" i="0" strike="noStrike" sz="1200" u="none">
                <a:solidFill>
                  <a:srgbClr val="000000"/>
                </a:solidFill>
                <a:latin typeface="Helvetica Neue"/>
              </a:rPr>
              <a:t>Area Chart</a:t>
            </a:r>
          </a:p>
        </c:rich>
      </c:tx>
      <c:layout>
        <c:manualLayout>
          <c:xMode val="edge"/>
          <c:yMode val="edge"/>
          <c:x val="0.398738"/>
          <c:y val="0"/>
          <c:w val="0.202523"/>
          <c:h val="0.129227"/>
        </c:manualLayout>
      </c:layout>
      <c:overlay val="1"/>
      <c:spPr>
        <a:noFill/>
        <a:effectLst/>
      </c:spPr>
    </c:title>
    <c:autoTitleDeleted val="1"/>
    <c:plotArea>
      <c:layout>
        <c:manualLayout>
          <c:layoutTarget val="inner"/>
          <c:xMode val="edge"/>
          <c:yMode val="edge"/>
          <c:x val="0.108314"/>
          <c:y val="0.129227"/>
          <c:w val="0.647488"/>
          <c:h val="0.776589"/>
        </c:manualLayout>
      </c:layout>
      <c:areaChart>
        <c:grouping val="standard"/>
        <c:varyColors val="0"/>
        <c:ser>
          <c:idx val="2"/>
          <c:order val="0"/>
          <c:tx>
            <c:strRef>
              <c:f>'Legacy - Graph Main Scenarios'!$B$5</c:f>
              <c:strCache>
                <c:ptCount val="1"/>
                <c:pt idx="0">
                  <c:v>-5</c:v>
                </c:pt>
              </c:strCache>
            </c:strRef>
          </c:tx>
          <c:spPr>
            <a:solidFill>
              <a:srgbClr val="929292"/>
            </a:solidFill>
            <a:ln w="38100" cap="flat">
              <a:noFill/>
              <a:miter lim="400000"/>
            </a:ln>
            <a:effectLst/>
          </c:spPr>
          <c:dLbls>
            <c:numFmt formatCode="0" sourceLinked="1"/>
            <c:txPr>
              <a:bodyPr/>
              <a:lstStyle/>
              <a:p>
                <a:pPr>
                  <a:defRPr b="0" i="0" strike="noStrike" sz="1200" u="none">
                    <a:solidFill>
                      <a:srgbClr val="FFFFFF"/>
                    </a:solidFill>
                    <a:latin typeface="Helvetica Neue"/>
                  </a:defRPr>
                </a:pPr>
              </a:p>
            </c:txPr>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Scenarios'!$C$5:$E$5</c:f>
              <c:numCache>
                <c:ptCount val="3"/>
                <c:pt idx="0">
                  <c:v>19.000000</c:v>
                </c:pt>
                <c:pt idx="1">
                  <c:v>19.000000</c:v>
                </c:pt>
                <c:pt idx="2">
                  <c:v>22.000000</c:v>
                </c:pt>
              </c:numCache>
            </c:numRef>
          </c:val>
        </c:ser>
        <c:ser>
          <c:idx val="1"/>
          <c:order val="1"/>
          <c:tx>
            <c:strRef>
              <c:f>'Legacy - Graph Main Scenarios'!$B$4</c:f>
              <c:strCache>
                <c:ptCount val="1"/>
                <c:pt idx="0">
                  <c:v>-15</c:v>
                </c:pt>
              </c:strCache>
            </c:strRef>
          </c:tx>
          <c:spPr>
            <a:solidFill>
              <a:schemeClr val="accent3"/>
            </a:solidFill>
            <a:ln w="38100" cap="flat">
              <a:noFill/>
              <a:miter lim="400000"/>
            </a:ln>
            <a:effectLst/>
          </c:spPr>
          <c:dLbls>
            <c:numFmt formatCode="0" sourceLinked="1"/>
            <c:txPr>
              <a:bodyPr/>
              <a:lstStyle/>
              <a:p>
                <a:pPr>
                  <a:defRPr b="0" i="0" strike="noStrike" sz="1200" u="none">
                    <a:solidFill>
                      <a:srgbClr val="FFFFFF"/>
                    </a:solidFill>
                    <a:latin typeface="Helvetica Neue"/>
                  </a:defRPr>
                </a:pPr>
              </a:p>
            </c:txPr>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Scenarios'!$C$4:$E$4</c:f>
              <c:numCache>
                <c:ptCount val="3"/>
                <c:pt idx="0">
                  <c:v>19.000000</c:v>
                </c:pt>
                <c:pt idx="1">
                  <c:v>17.000000</c:v>
                </c:pt>
                <c:pt idx="2">
                  <c:v>20.000000</c:v>
                </c:pt>
              </c:numCache>
            </c:numRef>
          </c:val>
        </c:ser>
        <c:ser>
          <c:idx val="0"/>
          <c:order val="2"/>
          <c:tx>
            <c:strRef>
              <c:f>'Legacy - Graph Main Scenarios'!$B$3</c:f>
              <c:strCache>
                <c:ptCount val="1"/>
                <c:pt idx="0">
                  <c:v>-20</c:v>
                </c:pt>
              </c:strCache>
            </c:strRef>
          </c:tx>
          <c:spPr>
            <a:solidFill>
              <a:schemeClr val="accent1"/>
            </a:solidFill>
            <a:ln w="38100" cap="flat">
              <a:noFill/>
              <a:miter lim="400000"/>
            </a:ln>
            <a:effectLst/>
          </c:spPr>
          <c:dLbls>
            <c:numFmt formatCode="0" sourceLinked="1"/>
            <c:txPr>
              <a:bodyPr/>
              <a:lstStyle/>
              <a:p>
                <a:pPr>
                  <a:defRPr b="0" i="0" strike="noStrike" sz="1200" u="none">
                    <a:solidFill>
                      <a:srgbClr val="FFFFFF"/>
                    </a:solidFill>
                    <a:latin typeface="Helvetica Neue"/>
                  </a:defRPr>
                </a:pPr>
              </a:p>
            </c:txPr>
            <c:showLegendKey val="0"/>
            <c:showVal val="0"/>
            <c:showCatName val="0"/>
            <c:showSerName val="0"/>
            <c:showPercent val="0"/>
            <c:showBubbleSize val="0"/>
            <c:showLeaderLines val="0"/>
          </c:dLbls>
          <c:cat>
            <c:strRef>
              <c:f>'Legacy - Graph Main Scenarios'!$C$2:$E$2</c:f>
              <c:strCache>
                <c:ptCount val="3"/>
                <c:pt idx="0">
                  <c:v>S1 Expensive</c:v>
                </c:pt>
                <c:pt idx="1">
                  <c:v>S2 Cheap Unsatisfied</c:v>
                </c:pt>
                <c:pt idx="2">
                  <c:v>S3 Cheap Storage Needs Heat</c:v>
                </c:pt>
              </c:strCache>
            </c:strRef>
          </c:cat>
          <c:val>
            <c:numRef>
              <c:f>'Legacy - Graph Main Scenarios'!$C$3:$E$3</c:f>
              <c:numCache>
                <c:ptCount val="3"/>
                <c:pt idx="0">
                  <c:v>19.000000</c:v>
                </c:pt>
                <c:pt idx="1">
                  <c:v>17.000000</c:v>
                </c:pt>
                <c:pt idx="2">
                  <c:v>20.000000</c:v>
                </c:pt>
              </c:numCache>
            </c:numRef>
          </c:val>
        </c:ser>
        <c:axId val="2094734552"/>
        <c:axId val="2094734553"/>
      </c:areaChart>
      <c:catAx>
        <c:axId val="2094734552"/>
        <c:scaling>
          <c:orientation val="minMax"/>
        </c:scaling>
        <c:delete val="0"/>
        <c:axPos val="b"/>
        <c:numFmt formatCode="0" sourceLinked="1"/>
        <c:majorTickMark val="none"/>
        <c:minorTickMark val="none"/>
        <c:tickLblPos val="low"/>
        <c:spPr>
          <a:ln w="12700" cap="flat">
            <a:solidFill>
              <a:srgbClr val="000000"/>
            </a:solidFill>
            <a:prstDash val="solid"/>
            <a:miter lim="400000"/>
          </a:ln>
        </c:spPr>
        <c:txPr>
          <a:bodyPr rot="0"/>
          <a:lstStyle/>
          <a:p>
            <a:pPr>
              <a:defRPr b="0" i="0" strike="noStrike" sz="1000" u="none">
                <a:solidFill>
                  <a:srgbClr val="000000"/>
                </a:solidFill>
                <a:latin typeface="Helvetica Neue"/>
              </a:defRPr>
            </a:pPr>
          </a:p>
        </c:txPr>
        <c:crossAx val="2094734553"/>
        <c:crosses val="autoZero"/>
        <c:auto val="1"/>
        <c:lblAlgn val="ctr"/>
        <c:noMultiLvlLbl val="1"/>
      </c:catAx>
      <c:valAx>
        <c:axId val="2094734553"/>
        <c:scaling>
          <c:orientation val="minMax"/>
        </c:scaling>
        <c:delete val="0"/>
        <c:axPos val="l"/>
        <c:majorGridlines>
          <c:spPr>
            <a:ln w="6350" cap="flat">
              <a:solidFill>
                <a:srgbClr val="B8B8B8"/>
              </a:solidFill>
              <a:prstDash val="solid"/>
              <a:miter lim="400000"/>
            </a:ln>
          </c:spPr>
        </c:majorGridlines>
        <c:numFmt formatCode="0" sourceLinked="1"/>
        <c:majorTickMark val="none"/>
        <c:minorTickMark val="none"/>
        <c:tickLblPos val="nextTo"/>
        <c:spPr>
          <a:ln w="12700" cap="flat">
            <a:noFill/>
            <a:prstDash val="solid"/>
            <a:miter lim="400000"/>
          </a:ln>
        </c:spPr>
        <c:txPr>
          <a:bodyPr rot="0"/>
          <a:lstStyle/>
          <a:p>
            <a:pPr>
              <a:defRPr b="0" i="0" strike="noStrike" sz="1000" u="none">
                <a:solidFill>
                  <a:srgbClr val="000000"/>
                </a:solidFill>
                <a:latin typeface="Helvetica Neue"/>
              </a:defRPr>
            </a:pPr>
          </a:p>
        </c:txPr>
        <c:crossAx val="2094734552"/>
        <c:crosses val="autoZero"/>
        <c:crossBetween val="midCat"/>
        <c:majorUnit val="5.5"/>
        <c:minorUnit val="2.75"/>
      </c:valAx>
      <c:spPr>
        <a:noFill/>
        <a:ln w="12700" cap="flat">
          <a:noFill/>
          <a:miter lim="400000"/>
        </a:ln>
        <a:effectLst/>
      </c:spPr>
    </c:plotArea>
    <c:plotVisOnly val="1"/>
    <c:dispBlanksAs val="gap"/>
  </c:chart>
  <c:spPr>
    <a:noFill/>
    <a:ln>
      <a:noFill/>
    </a:ln>
    <a:effectLst/>
  </c:spPr>
</c:chartSpace>
</file>

<file path=xl/charts/chart6.xml><?xml version="1.0" encoding="utf-8"?>
<c:chartSpace xmlns:a="http://schemas.openxmlformats.org/drawingml/2006/main" xmlns:c="http://schemas.openxmlformats.org/drawingml/2006/chart">
  <c:chart>
    <c:title>
      <c:tx>
        <c:rich>
          <a:bodyPr/>
          <a:lstStyle/>
          <a:p>
            <a:r>
              <a:rPr sz="1200"/>
              <a:t>Outdoor, Room1, Room2, and Storage Temperatures</a:t>
            </a:r>
          </a:p>
        </c:rich>
      </c:tx>
      <c:layout/>
      <c:overlay val="0"/>
    </c:title>
    <c:plotArea>
      <c:layout/>
      <c:lineChart>
        <c:grouping val="standard"/>
        <c:ser>
          <c:idx val="0"/>
          <c:order val="0"/>
          <c:tx>
            <c:strRef>
              <c:f>'Simulation'!$B$1</c:f>
            </c:strRef>
          </c:tx>
          <c:marker>
            <c:symbol val="none"/>
          </c:marker>
          <c:cat>
            <c:numRef>
              <c:f>'Simulation'!$A$2:$A$15</c:f>
            </c:numRef>
          </c:cat>
          <c:val>
            <c:numRef>
              <c:f>'Simulation'!$B$2:$B$15</c:f>
            </c:numRef>
          </c:val>
          <c:smooth val="0"/>
        </c:ser>
        <c:ser>
          <c:idx val="1"/>
          <c:order val="1"/>
          <c:tx>
            <c:strRef>
              <c:f>'Simulation'!$D$1</c:f>
            </c:strRef>
          </c:tx>
          <c:marker>
            <c:symbol val="none"/>
          </c:marker>
          <c:cat>
            <c:numRef>
              <c:f>'Simulation'!$A$2:$A$15</c:f>
            </c:numRef>
          </c:cat>
          <c:val>
            <c:numRef>
              <c:f>'Simulation'!$D$2:$D$15</c:f>
            </c:numRef>
          </c:val>
          <c:smooth val="0"/>
        </c:ser>
        <c:ser>
          <c:idx val="2"/>
          <c:order val="2"/>
          <c:tx>
            <c:strRef>
              <c:f>'Simulation'!$E$1</c:f>
            </c:strRef>
          </c:tx>
          <c:marker>
            <c:symbol val="none"/>
          </c:marker>
          <c:cat>
            <c:numRef>
              <c:f>'Simulation'!$A$2:$A$15</c:f>
            </c:numRef>
          </c:cat>
          <c:val>
            <c:numRef>
              <c:f>'Simulation'!$E$2:$E$15</c:f>
            </c:numRef>
          </c:val>
          <c:smooth val="0"/>
        </c:ser>
        <c:ser>
          <c:idx val="3"/>
          <c:order val="3"/>
          <c:tx>
            <c:strRef>
              <c:f>'Simulation'!$F$1</c:f>
            </c:strRef>
          </c:tx>
          <c:marker>
            <c:symbol val="none"/>
          </c:marker>
          <c:cat>
            <c:numRef>
              <c:f>'Simulation'!$A$2:$A$15</c:f>
            </c:numRef>
          </c:cat>
          <c:val>
            <c:numRef>
              <c:f>'Simulation'!$F$2:$F$15</c:f>
            </c:numRef>
          </c:val>
          <c:smooth val="0"/>
        </c:ser>
        <c:axId val="6100"/>
        <c:axId val="6101"/>
      </c:lineChart>
      <c:catAx>
        <c:axId val="6100"/>
        <c:scaling>
          <c:orientation val="minMax"/>
        </c:scaling>
        <c:axPos val="b"/>
        <c:title>
          <c:tx>
            <c:rich>
              <a:bodyPr/>
              <a:lstStyle/>
              <a:p>
                <a:r>
                  <a:rPr sz="1000"/>
                  <a:t>Day</a:t>
                </a:r>
              </a:p>
            </c:rich>
          </c:tx>
          <c:layout/>
          <c:overlay val="0"/>
        </c:title>
        <c:numFmt formatCode="0" sourceLinked="0"/>
        <c:tickLblPos val="nextTo"/>
        <c:crossAx val="6101"/>
        <c:crosses val="autoZero"/>
        <c:auto val="1"/>
        <c:lblAlgn val="ctr"/>
        <c:lblOffset val="100"/>
        <c:delete val="0"/>
        <c:majorTickMark val="none"/>
        <c:minorTickMark val="none"/>
        <c:txPr>
          <a:bodyPr rot="0"/>
          <a:lstStyle/>
          <a:p>
            <a:pPr>
              <a:defRPr b="0" i="0" strike="noStrike" sz="1000" u="none">
                <a:solidFill>
                  <a:srgbClr val="000000"/>
                </a:solidFill>
                <a:latin typeface="Helvetica Neue"/>
              </a:defRPr>
            </a:pPr>
          </a:p>
        </c:txPr>
      </c:catAx>
      <c:valAx>
        <c:axId val="6101"/>
        <c:scaling>
          <c:orientation val="minMax"/>
        </c:scaling>
        <c:axPos val="l"/>
        <c:title>
          <c:tx>
            <c:rich>
              <a:bodyPr/>
              <a:lstStyle/>
              <a:p>
                <a:r>
                  <a:rPr sz="1000"/>
                  <a:t>Temperature (C)</a:t>
                </a:r>
              </a:p>
            </c:rich>
          </c:tx>
          <c:layout/>
          <c:overlay val="0"/>
        </c:title>
        <c:majorGridlines/>
        <c:numFmt formatCode="0.0" sourceLinked="0"/>
        <c:tickLblPos val="nextTo"/>
        <c:crossAx val="6100"/>
        <c:crosses val="autoZero"/>
        <c:crossBetween val="between"/>
        <c:delete val="0"/>
        <c:majorTickMark val="none"/>
        <c:minorTickMark val="none"/>
        <c:txPr>
          <a:bodyPr rot="0"/>
          <a:lstStyle/>
          <a:p>
            <a:pPr>
              <a:defRPr b="0" i="0" strike="noStrike" sz="1000" u="none">
                <a:solidFill>
                  <a:srgbClr val="000000"/>
                </a:solidFill>
                <a:latin typeface="Helvetica Neue"/>
              </a:defRPr>
            </a:pPr>
          </a:p>
        </c:txPr>
      </c:valAx>
    </c:plotArea>
    <c:legend>
      <c:legendPos val="r"/>
      <c:layout/>
    </c:legend>
    <c:plotVisOnly val="1"/>
    <c:dispBlanksAs val="gap"/>
  </c:chart>
</c:chartSpace>
</file>

<file path=xl/charts/chart7.xml><?xml version="1.0" encoding="utf-8"?>
<c:chartSpace xmlns:a="http://schemas.openxmlformats.org/drawingml/2006/main" xmlns:c="http://schemas.openxmlformats.org/drawingml/2006/chart">
  <c:chart>
    <c:title>
      <c:tx>
        <c:rich>
          <a:bodyPr/>
          <a:lstStyle/>
          <a:p>
            <a:r>
              <a:rPr sz="1200"/>
              <a:t>Target Saving, Target Comfort, Target Final, Heatpump Signal</a:t>
            </a:r>
          </a:p>
        </c:rich>
      </c:tx>
      <c:layout/>
      <c:overlay val="0"/>
    </c:title>
    <c:plotArea>
      <c:layout/>
      <c:lineChart>
        <c:grouping val="standard"/>
        <c:ser>
          <c:idx val="0"/>
          <c:order val="0"/>
          <c:tx>
            <c:strRef>
              <c:f>'Simulation'!$O$1</c:f>
            </c:strRef>
          </c:tx>
          <c:marker>
            <c:symbol val="none"/>
          </c:marker>
          <c:cat>
            <c:numRef>
              <c:f>'Simulation'!$A$2:$A$15</c:f>
            </c:numRef>
          </c:cat>
          <c:val>
            <c:numRef>
              <c:f>'Simulation'!$O$2:$O$15</c:f>
            </c:numRef>
          </c:val>
          <c:smooth val="0"/>
        </c:ser>
        <c:ser>
          <c:idx val="1"/>
          <c:order val="1"/>
          <c:tx>
            <c:strRef>
              <c:f>'Simulation'!$N$1</c:f>
            </c:strRef>
          </c:tx>
          <c:marker>
            <c:symbol val="none"/>
          </c:marker>
          <c:cat>
            <c:numRef>
              <c:f>'Simulation'!$A$2:$A$15</c:f>
            </c:numRef>
          </c:cat>
          <c:val>
            <c:numRef>
              <c:f>'Simulation'!$N$2:$N$15</c:f>
            </c:numRef>
          </c:val>
          <c:smooth val="0"/>
        </c:ser>
        <c:ser>
          <c:idx val="2"/>
          <c:order val="2"/>
          <c:tx>
            <c:strRef>
              <c:f>'Simulation'!$U$1</c:f>
            </c:strRef>
          </c:tx>
          <c:marker>
            <c:symbol val="none"/>
          </c:marker>
          <c:cat>
            <c:numRef>
              <c:f>'Simulation'!$A$2:$A$15</c:f>
            </c:numRef>
          </c:cat>
          <c:val>
            <c:numRef>
              <c:f>'Simulation'!$U$2:$U$15</c:f>
            </c:numRef>
          </c:val>
          <c:smooth val="0"/>
        </c:ser>
        <c:ser>
          <c:idx val="3"/>
          <c:order val="3"/>
          <c:tx>
            <c:strRef>
              <c:f>'Simulation'!$X$1</c:f>
            </c:strRef>
          </c:tx>
          <c:marker>
            <c:symbol val="none"/>
          </c:marker>
          <c:cat>
            <c:numRef>
              <c:f>'Simulation'!$A$2:$A$15</c:f>
            </c:numRef>
          </c:cat>
          <c:val>
            <c:numRef>
              <c:f>'Simulation'!$X$2:$X$15</c:f>
            </c:numRef>
          </c:val>
          <c:smooth val="0"/>
        </c:ser>
        <c:axId val="7100"/>
        <c:axId val="7101"/>
      </c:lineChart>
      <c:catAx>
        <c:axId val="7100"/>
        <c:scaling>
          <c:orientation val="minMax"/>
        </c:scaling>
        <c:axPos val="b"/>
        <c:title>
          <c:tx>
            <c:rich>
              <a:bodyPr/>
              <a:lstStyle/>
              <a:p>
                <a:r>
                  <a:rPr sz="1000"/>
                  <a:t>Day</a:t>
                </a:r>
              </a:p>
            </c:rich>
          </c:tx>
          <c:layout/>
          <c:overlay val="0"/>
        </c:title>
        <c:numFmt formatCode="0" sourceLinked="0"/>
        <c:tickLblPos val="nextTo"/>
        <c:crossAx val="7101"/>
        <c:crosses val="autoZero"/>
        <c:auto val="1"/>
        <c:lblAlgn val="ctr"/>
        <c:lblOffset val="100"/>
        <c:delete val="0"/>
        <c:majorTickMark val="none"/>
        <c:minorTickMark val="none"/>
        <c:txPr>
          <a:bodyPr rot="0"/>
          <a:lstStyle/>
          <a:p>
            <a:pPr>
              <a:defRPr b="0" i="0" strike="noStrike" sz="1000" u="none">
                <a:solidFill>
                  <a:srgbClr val="000000"/>
                </a:solidFill>
                <a:latin typeface="Helvetica Neue"/>
              </a:defRPr>
            </a:pPr>
          </a:p>
        </c:txPr>
      </c:catAx>
      <c:valAx>
        <c:axId val="7101"/>
        <c:scaling>
          <c:orientation val="minMax"/>
        </c:scaling>
        <c:axPos val="l"/>
        <c:title>
          <c:tx>
            <c:rich>
              <a:bodyPr/>
              <a:lstStyle/>
              <a:p>
                <a:r>
                  <a:rPr sz="1000"/>
                  <a:t>Temperature (C)</a:t>
                </a:r>
              </a:p>
            </c:rich>
          </c:tx>
          <c:layout/>
          <c:overlay val="0"/>
        </c:title>
        <c:majorGridlines/>
        <c:numFmt formatCode="0.0" sourceLinked="0"/>
        <c:tickLblPos val="nextTo"/>
        <c:crossAx val="7100"/>
        <c:crosses val="autoZero"/>
        <c:crossBetween val="between"/>
        <c:delete val="0"/>
        <c:majorTickMark val="none"/>
        <c:minorTickMark val="none"/>
        <c:txPr>
          <a:bodyPr rot="0"/>
          <a:lstStyle/>
          <a:p>
            <a:pPr>
              <a:defRPr b="0" i="0" strike="noStrike" sz="1000" u="none">
                <a:solidFill>
                  <a:srgbClr val="000000"/>
                </a:solidFill>
                <a:latin typeface="Helvetica Neue"/>
              </a:defRPr>
            </a:pPr>
          </a:p>
        </c:txPr>
      </c:valAx>
    </c:plotArea>
    <c:legend>
      <c:legendPos val="r"/>
      <c:layout/>
    </c:legend>
    <c:plotVisOnly val="1"/>
    <c:dispBlanksAs val="gap"/>
  </c:chart>
</c:chartSpace>
</file>

<file path=xl/charts/chart8.xml><?xml version="1.0" encoding="utf-8"?>
<c:chartSpace xmlns:a="http://schemas.openxmlformats.org/drawingml/2006/main" xmlns:c="http://schemas.openxmlformats.org/drawingml/2006/chart">
  <c:chart>
    <c:title>
      <c:tx>
        <c:rich>
          <a:bodyPr/>
          <a:lstStyle/>
          <a:p>
            <a:r>
              <a:rPr sz="1200"/>
              <a:t>Energy Saving, Fallback Active, and Control Write</a:t>
            </a:r>
          </a:p>
        </c:rich>
      </c:tx>
      <c:layout/>
      <c:overlay val="0"/>
    </c:title>
    <c:plotArea>
      <c:layout/>
      <c:barChart>
        <c:barDir val="col"/>
        <c:grouping val="clustered"/>
        <c:varyColors val="0"/>
        <c:ser>
          <c:idx val="0"/>
          <c:order val="0"/>
          <c:tx>
            <c:strRef>
              <c:f>'Simulation'!$C$1</c:f>
            </c:strRef>
          </c:tx>
          <c:cat>
            <c:numRef>
              <c:f>'Simulation'!$A$2:$A$15</c:f>
            </c:numRef>
          </c:cat>
          <c:val>
            <c:numRef>
              <c:f>'Simulation'!$C$2:$C$15</c:f>
            </c:numRef>
          </c:val>
        </c:ser>
        <c:ser>
          <c:idx val="1"/>
          <c:order val="1"/>
          <c:tx>
            <c:strRef>
              <c:f>'Simulation'!$S$1</c:f>
            </c:strRef>
          </c:tx>
          <c:cat>
            <c:numRef>
              <c:f>'Simulation'!$A$2:$A$15</c:f>
            </c:numRef>
          </c:cat>
          <c:val>
            <c:numRef>
              <c:f>'Simulation'!$S$2:$S$15</c:f>
            </c:numRef>
          </c:val>
        </c:ser>
        <c:ser>
          <c:idx val="2"/>
          <c:order val="2"/>
          <c:tx>
            <c:strRef>
              <c:f>'Simulation'!$W$1</c:f>
            </c:strRef>
          </c:tx>
          <c:cat>
            <c:numRef>
              <c:f>'Simulation'!$A$2:$A$15</c:f>
            </c:numRef>
          </c:cat>
          <c:val>
            <c:numRef>
              <c:f>'Simulation'!$W$2:$W$15</c:f>
            </c:numRef>
          </c:val>
        </c:ser>
        <c:gapWidth val="150"/>
        <c:axId val="8100"/>
        <c:axId val="8101"/>
      </c:barChart>
      <c:catAx>
        <c:axId val="8100"/>
        <c:scaling>
          <c:orientation val="minMax"/>
        </c:scaling>
        <c:axPos val="b"/>
        <c:title>
          <c:tx>
            <c:rich>
              <a:bodyPr/>
              <a:lstStyle/>
              <a:p>
                <a:r>
                  <a:rPr sz="1000"/>
                  <a:t>Day</a:t>
                </a:r>
              </a:p>
            </c:rich>
          </c:tx>
          <c:layout/>
          <c:overlay val="0"/>
        </c:title>
        <c:numFmt formatCode="0" sourceLinked="0"/>
        <c:tickLblPos val="nextTo"/>
        <c:crossAx val="8101"/>
        <c:crosses val="autoZero"/>
        <c:auto val="1"/>
        <c:lblAlgn val="ctr"/>
        <c:lblOffset val="100"/>
        <c:delete val="0"/>
        <c:majorTickMark val="none"/>
        <c:minorTickMark val="none"/>
        <c:txPr>
          <a:bodyPr rot="0"/>
          <a:lstStyle/>
          <a:p>
            <a:pPr>
              <a:defRPr b="0" i="0" strike="noStrike" sz="1000" u="none">
                <a:solidFill>
                  <a:srgbClr val="000000"/>
                </a:solidFill>
                <a:latin typeface="Helvetica Neue"/>
              </a:defRPr>
            </a:pPr>
          </a:p>
        </c:txPr>
      </c:catAx>
      <c:valAx>
        <c:axId val="8101"/>
        <c:scaling>
          <c:orientation val="minMax"/>
        </c:scaling>
        <c:axPos val="l"/>
        <c:title>
          <c:tx>
            <c:rich>
              <a:bodyPr/>
              <a:lstStyle/>
              <a:p>
                <a:r>
                  <a:rPr sz="1000"/>
                  <a:t>State (0/1)</a:t>
                </a:r>
              </a:p>
            </c:rich>
          </c:tx>
          <c:layout/>
          <c:overlay val="0"/>
        </c:title>
        <c:majorGridlines/>
        <c:numFmt formatCode="0.0" sourceLinked="0"/>
        <c:tickLblPos val="nextTo"/>
        <c:crossAx val="8100"/>
        <c:crosses val="autoZero"/>
        <c:crossBetween val="between"/>
        <c:majorUnit val="1"/>
        <c:delete val="0"/>
        <c:majorTickMark val="none"/>
        <c:minorTickMark val="none"/>
        <c:txPr>
          <a:bodyPr rot="0"/>
          <a:lstStyle/>
          <a:p>
            <a:pPr>
              <a:defRPr b="0" i="0" strike="noStrike" sz="1000" u="none">
                <a:solidFill>
                  <a:srgbClr val="000000"/>
                </a:solidFill>
                <a:latin typeface="Helvetica Neue"/>
              </a:defRPr>
            </a:pPr>
          </a:p>
        </c:txPr>
      </c:valAx>
    </c:plotArea>
    <c:legend>
      <c:legendPos val="r"/>
      <c:layout/>
    </c:legend>
    <c:plotVisOnly val="1"/>
    <c:dispBlanksAs val="gap"/>
  </c:chart>
</c:chartSpace>
</file>

<file path=xl/charts/chart9.xml><?xml version="1.0" encoding="utf-8"?>
<c:chartSpace xmlns:a="http://schemas.openxmlformats.org/drawingml/2006/main" xmlns:c="http://schemas.openxmlformats.org/drawingml/2006/chart">
  <c:chart>
    <c:title>
      <c:tx>
        <c:rich>
          <a:bodyPr/>
          <a:lstStyle/>
          <a:p>
            <a:r>
              <a:rPr sz="1200"/>
              <a:t>Comfort Deficit and Cold Boost</a:t>
            </a:r>
          </a:p>
        </c:rich>
      </c:tx>
      <c:layout/>
      <c:overlay val="0"/>
    </c:title>
    <c:plotArea>
      <c:layout/>
      <c:lineChart>
        <c:grouping val="standard"/>
        <c:ser>
          <c:idx val="0"/>
          <c:order val="0"/>
          <c:tx>
            <c:strRef>
              <c:f>'Simulation'!$Y$1</c:f>
            </c:strRef>
          </c:tx>
          <c:marker>
            <c:symbol val="none"/>
          </c:marker>
          <c:cat>
            <c:numRef>
              <c:f>'Simulation'!$A$2:$A$15</c:f>
            </c:numRef>
          </c:cat>
          <c:val>
            <c:numRef>
              <c:f>'Simulation'!$Y$2:$Y$15</c:f>
            </c:numRef>
          </c:val>
          <c:smooth val="0"/>
        </c:ser>
        <c:ser>
          <c:idx val="1"/>
          <c:order val="1"/>
          <c:tx>
            <c:strRef>
              <c:f>'Simulation'!$I$1</c:f>
            </c:strRef>
          </c:tx>
          <c:marker>
            <c:symbol val="none"/>
          </c:marker>
          <c:cat>
            <c:numRef>
              <c:f>'Simulation'!$A$2:$A$15</c:f>
            </c:numRef>
          </c:cat>
          <c:val>
            <c:numRef>
              <c:f>'Simulation'!$I$2:$I$15</c:f>
            </c:numRef>
          </c:val>
          <c:smooth val="0"/>
        </c:ser>
        <c:axId val="9100"/>
        <c:axId val="9101"/>
      </c:lineChart>
      <c:catAx>
        <c:axId val="9100"/>
        <c:scaling>
          <c:orientation val="minMax"/>
        </c:scaling>
        <c:axPos val="b"/>
        <c:title>
          <c:tx>
            <c:rich>
              <a:bodyPr/>
              <a:lstStyle/>
              <a:p>
                <a:r>
                  <a:rPr sz="1000"/>
                  <a:t>Day</a:t>
                </a:r>
              </a:p>
            </c:rich>
          </c:tx>
          <c:layout/>
          <c:overlay val="0"/>
        </c:title>
        <c:numFmt formatCode="0" sourceLinked="0"/>
        <c:tickLblPos val="nextTo"/>
        <c:crossAx val="9101"/>
        <c:crosses val="autoZero"/>
        <c:auto val="1"/>
        <c:lblAlgn val="ctr"/>
        <c:lblOffset val="100"/>
        <c:delete val="0"/>
        <c:majorTickMark val="none"/>
        <c:minorTickMark val="none"/>
        <c:txPr>
          <a:bodyPr rot="0"/>
          <a:lstStyle/>
          <a:p>
            <a:pPr>
              <a:defRPr b="0" i="0" strike="noStrike" sz="1000" u="none">
                <a:solidFill>
                  <a:srgbClr val="000000"/>
                </a:solidFill>
                <a:latin typeface="Helvetica Neue"/>
              </a:defRPr>
            </a:pPr>
          </a:p>
        </c:txPr>
      </c:catAx>
      <c:valAx>
        <c:axId val="9101"/>
        <c:scaling>
          <c:orientation val="minMax"/>
        </c:scaling>
        <c:axPos val="l"/>
        <c:title>
          <c:tx>
            <c:rich>
              <a:bodyPr/>
              <a:lstStyle/>
              <a:p>
                <a:r>
                  <a:rPr sz="1000"/>
                  <a:t>Delta (C)</a:t>
                </a:r>
              </a:p>
            </c:rich>
          </c:tx>
          <c:layout/>
          <c:overlay val="0"/>
        </c:title>
        <c:majorGridlines/>
        <c:numFmt formatCode="0.0" sourceLinked="0"/>
        <c:tickLblPos val="nextTo"/>
        <c:crossAx val="9100"/>
        <c:crosses val="autoZero"/>
        <c:crossBetween val="between"/>
        <c:delete val="0"/>
        <c:majorTickMark val="none"/>
        <c:minorTickMark val="none"/>
        <c:txPr>
          <a:bodyPr rot="0"/>
          <a:lstStyle/>
          <a:p>
            <a:pPr>
              <a:defRPr b="0" i="0" strike="noStrike" sz="1000" u="none">
                <a:solidFill>
                  <a:srgbClr val="000000"/>
                </a:solidFill>
                <a:latin typeface="Helvetica Neue"/>
              </a:defRPr>
            </a:pPr>
          </a:p>
        </c:txPr>
      </c:valAx>
    </c:plotArea>
    <c:legend>
      <c:legendPos val="r"/>
      <c:layout/>
    </c:legend>
    <c:plotVisOnly val="1"/>
    <c:dispBlanksAs val="gap"/>
  </c:chart>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_rels/drawing4.xml.rels><?xml version="1.0" encoding="UTF-8"?><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698</xdr:colOff>
      <xdr:row>9</xdr:row>
      <xdr:rowOff>82753</xdr:rowOff>
    </xdr:from>
    <xdr:to>
      <xdr:col>0</xdr:col>
      <xdr:colOff>4191000</xdr:colOff>
      <xdr:row>21</xdr:row>
      <xdr:rowOff>78041</xdr:rowOff>
    </xdr:to>
    <xdr:graphicFrame>
      <xdr:nvGraphicFramePr>
        <xdr:cNvPr id="2" name="2D Column Chart"/>
        <xdr:cNvGraphicFramePr/>
      </xdr:nvGraphicFramePr>
      <xdr:xfrm>
        <a:off x="698" y="2468448"/>
        <a:ext cx="4190302" cy="3028049"/>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0</xdr:colOff>
      <xdr:row>0</xdr:row>
      <xdr:rowOff>204787</xdr:rowOff>
    </xdr:from>
    <xdr:to>
      <xdr:col>0</xdr:col>
      <xdr:colOff>4521200</xdr:colOff>
      <xdr:row>4</xdr:row>
      <xdr:rowOff>150812</xdr:rowOff>
    </xdr:to>
    <xdr:sp>
      <xdr:nvSpPr>
        <xdr:cNvPr id="3" name="Column and bar charts compare values in a single category. For example, you can compare the number of products sold by each salesperson."/>
        <xdr:cNvSpPr txBox="1"/>
      </xdr:nvSpPr>
      <xdr:spPr>
        <a:xfrm>
          <a:off x="-19050" y="204787"/>
          <a:ext cx="4521200" cy="106616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400" u="none">
              <a:solidFill>
                <a:srgbClr val="000000"/>
              </a:solidFill>
              <a:uFillTx/>
              <a:latin typeface="+mn-lt"/>
              <a:ea typeface="+mn-ea"/>
              <a:cs typeface="+mn-cs"/>
              <a:sym typeface="Helvetica Neue"/>
            </a:defRPr>
          </a:pPr>
          <a:r>
            <a:rPr b="1" baseline="0" cap="none" i="0" spc="0" strike="noStrike" sz="1400" u="none">
              <a:solidFill>
                <a:srgbClr val="000000"/>
              </a:solidFill>
              <a:uFillTx/>
              <a:latin typeface="+mn-lt"/>
              <a:ea typeface="+mn-ea"/>
              <a:cs typeface="+mn-cs"/>
              <a:sym typeface="Helvetica Neue"/>
            </a:rPr>
            <a:t>Column</a:t>
          </a:r>
          <a:r>
            <a:rPr b="1" baseline="0" cap="none" i="0" spc="0" strike="noStrike" sz="1400" u="none">
              <a:solidFill>
                <a:srgbClr val="000000"/>
              </a:solidFill>
              <a:uFillTx/>
              <a:latin typeface="+mn-lt"/>
              <a:ea typeface="+mn-ea"/>
              <a:cs typeface="+mn-cs"/>
              <a:sym typeface="Helvetica Neue"/>
            </a:rPr>
            <a:t> </a:t>
          </a:r>
          <a:r>
            <a:rPr b="0" baseline="0" cap="none" i="0" spc="0" strike="noStrike" sz="1400" u="none">
              <a:solidFill>
                <a:srgbClr val="000000"/>
              </a:solidFill>
              <a:uFillTx/>
              <a:latin typeface="+mn-lt"/>
              <a:ea typeface="+mn-ea"/>
              <a:cs typeface="+mn-cs"/>
              <a:sym typeface="Helvetica Neue"/>
            </a:rPr>
            <a:t>and </a:t>
          </a:r>
          <a:r>
            <a:rPr b="1" baseline="0" cap="none" i="0" spc="0" strike="noStrike" sz="1400" u="none">
              <a:solidFill>
                <a:srgbClr val="000000"/>
              </a:solidFill>
              <a:uFillTx/>
              <a:latin typeface="+mn-lt"/>
              <a:ea typeface="+mn-ea"/>
              <a:cs typeface="+mn-cs"/>
              <a:sym typeface="Helvetica Neue"/>
            </a:rPr>
            <a:t>bar</a:t>
          </a:r>
          <a:r>
            <a:rPr b="0" baseline="0" cap="none" i="0" spc="0" strike="noStrike" sz="1400" u="none">
              <a:solidFill>
                <a:srgbClr val="000000"/>
              </a:solidFill>
              <a:uFillTx/>
              <a:latin typeface="+mn-lt"/>
              <a:ea typeface="+mn-ea"/>
              <a:cs typeface="+mn-cs"/>
              <a:sym typeface="Helvetica Neue"/>
            </a:rPr>
            <a:t> charts compare values in a single category. For example, you can compare the number of products sold by each salesperson.</a:t>
          </a:r>
        </a:p>
      </xdr:txBody>
    </xdr:sp>
    <xdr:clientData/>
  </xdr:twoCellAnchor>
  <xdr:twoCellAnchor>
    <xdr:from>
      <xdr:col>0</xdr:col>
      <xdr:colOff>4177518</xdr:colOff>
      <xdr:row>7</xdr:row>
      <xdr:rowOff>57484</xdr:rowOff>
    </xdr:from>
    <xdr:to>
      <xdr:col>3</xdr:col>
      <xdr:colOff>52713</xdr:colOff>
      <xdr:row>18</xdr:row>
      <xdr:rowOff>235652</xdr:rowOff>
    </xdr:to>
    <xdr:graphicFrame>
      <xdr:nvGraphicFramePr>
        <xdr:cNvPr id="4" name="2D Bar Chart"/>
        <xdr:cNvGraphicFramePr/>
      </xdr:nvGraphicFramePr>
      <xdr:xfrm>
        <a:off x="4177518" y="1937719"/>
        <a:ext cx="5044596" cy="2958199"/>
      </xdr:xfrm>
      <a:graphic xmlns:a="http://schemas.openxmlformats.org/drawingml/2006/main">
        <a:graphicData uri="http://schemas.openxmlformats.org/drawingml/2006/chart">
          <c:chart xmlns:c="http://schemas.openxmlformats.org/drawingml/2006/chart" r:id="rId2"/>
        </a:graphicData>
      </a:graphic>
    </xdr:graphicFrame>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204787</xdr:rowOff>
    </xdr:from>
    <xdr:to>
      <xdr:col>0</xdr:col>
      <xdr:colOff>4610100</xdr:colOff>
      <xdr:row>3</xdr:row>
      <xdr:rowOff>100647</xdr:rowOff>
    </xdr:to>
    <xdr:sp>
      <xdr:nvSpPr>
        <xdr:cNvPr id="6" name="Column, stacked column and area charts compare data from multiple categories. For example, you can compare the annual sales of three products. The x-axis shows years and the y-axis shows quantities."/>
        <xdr:cNvSpPr txBox="1"/>
      </xdr:nvSpPr>
      <xdr:spPr>
        <a:xfrm>
          <a:off x="-19050" y="204787"/>
          <a:ext cx="4610100" cy="106616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400" u="none">
              <a:solidFill>
                <a:srgbClr val="000000"/>
              </a:solidFill>
              <a:uFillTx/>
              <a:latin typeface="+mn-lt"/>
              <a:ea typeface="+mn-ea"/>
              <a:cs typeface="+mn-cs"/>
              <a:sym typeface="Helvetica Neue"/>
            </a:defRPr>
          </a:pPr>
          <a:r>
            <a:rPr b="1" baseline="0" cap="none" i="0" spc="0" strike="noStrike" sz="1400" u="none">
              <a:solidFill>
                <a:srgbClr val="000000"/>
              </a:solidFill>
              <a:uFillTx/>
              <a:latin typeface="+mn-lt"/>
              <a:ea typeface="+mn-ea"/>
              <a:cs typeface="+mn-cs"/>
              <a:sym typeface="Helvetica Neue"/>
            </a:rPr>
            <a:t>Column, stacked column</a:t>
          </a:r>
          <a:r>
            <a:rPr b="0" baseline="0" cap="none" i="0" spc="0" strike="noStrike" sz="1400" u="none">
              <a:solidFill>
                <a:srgbClr val="000000"/>
              </a:solidFill>
              <a:uFillTx/>
              <a:latin typeface="+mn-lt"/>
              <a:ea typeface="+mn-ea"/>
              <a:cs typeface="+mn-cs"/>
              <a:sym typeface="Helvetica Neue"/>
            </a:rPr>
            <a:t> and </a:t>
          </a:r>
          <a:r>
            <a:rPr b="1" baseline="0" cap="none" i="0" spc="0" strike="noStrike" sz="1400" u="none">
              <a:solidFill>
                <a:srgbClr val="000000"/>
              </a:solidFill>
              <a:uFillTx/>
              <a:latin typeface="+mn-lt"/>
              <a:ea typeface="+mn-ea"/>
              <a:cs typeface="+mn-cs"/>
              <a:sym typeface="Helvetica Neue"/>
            </a:rPr>
            <a:t>area</a:t>
          </a:r>
          <a:r>
            <a:rPr b="0" baseline="0" cap="none" i="0" spc="0" strike="noStrike" sz="1400" u="none">
              <a:solidFill>
                <a:srgbClr val="000000"/>
              </a:solidFill>
              <a:uFillTx/>
              <a:latin typeface="+mn-lt"/>
              <a:ea typeface="+mn-ea"/>
              <a:cs typeface="+mn-cs"/>
              <a:sym typeface="Helvetica Neue"/>
            </a:rPr>
            <a:t> charts compare data from multiple categories. For example, you can compare the annual sales of three products. The x-axis shows years and the y-axis shows quantities.</a:t>
          </a:r>
        </a:p>
      </xdr:txBody>
    </xdr:sp>
    <xdr:clientData/>
  </xdr:twoCellAnchor>
  <xdr:twoCellAnchor>
    <xdr:from>
      <xdr:col>0</xdr:col>
      <xdr:colOff>76898</xdr:colOff>
      <xdr:row>9</xdr:row>
      <xdr:rowOff>153238</xdr:rowOff>
    </xdr:from>
    <xdr:to>
      <xdr:col>0</xdr:col>
      <xdr:colOff>3313366</xdr:colOff>
      <xdr:row>19</xdr:row>
      <xdr:rowOff>120586</xdr:rowOff>
    </xdr:to>
    <xdr:graphicFrame>
      <xdr:nvGraphicFramePr>
        <xdr:cNvPr id="7" name="2D Column Chart"/>
        <xdr:cNvGraphicFramePr/>
      </xdr:nvGraphicFramePr>
      <xdr:xfrm>
        <a:off x="76898" y="2849448"/>
        <a:ext cx="3236469" cy="2494649"/>
      </xdr:xfrm>
      <a:graphic xmlns:a="http://schemas.openxmlformats.org/drawingml/2006/main">
        <a:graphicData uri="http://schemas.openxmlformats.org/drawingml/2006/chart">
          <c:chart xmlns:c="http://schemas.openxmlformats.org/drawingml/2006/chart" r:id="rId1"/>
        </a:graphicData>
      </a:graphic>
    </xdr:graphicFrame>
    <xdr:clientData/>
  </xdr:twoCellAnchor>
  <xdr:twoCellAnchor>
    <xdr:from>
      <xdr:col>0</xdr:col>
      <xdr:colOff>3314700</xdr:colOff>
      <xdr:row>12</xdr:row>
      <xdr:rowOff>136603</xdr:rowOff>
    </xdr:from>
    <xdr:to>
      <xdr:col>2</xdr:col>
      <xdr:colOff>354266</xdr:colOff>
      <xdr:row>23</xdr:row>
      <xdr:rowOff>180469</xdr:rowOff>
    </xdr:to>
    <xdr:graphicFrame>
      <xdr:nvGraphicFramePr>
        <xdr:cNvPr id="8" name="2D Stacked Column Chart"/>
        <xdr:cNvGraphicFramePr/>
      </xdr:nvGraphicFramePr>
      <xdr:xfrm>
        <a:off x="3314700" y="3591003"/>
        <a:ext cx="3237167" cy="2823897"/>
      </xdr:xfrm>
      <a:graphic xmlns:a="http://schemas.openxmlformats.org/drawingml/2006/main">
        <a:graphicData uri="http://schemas.openxmlformats.org/drawingml/2006/chart">
          <c:chart xmlns:c="http://schemas.openxmlformats.org/drawingml/2006/chart" r:id="rId2"/>
        </a:graphicData>
      </a:graphic>
    </xdr:graphicFrame>
    <xdr:clientData/>
  </xdr:twoCellAnchor>
  <xdr:twoCellAnchor>
    <xdr:from>
      <xdr:col>2</xdr:col>
      <xdr:colOff>205993</xdr:colOff>
      <xdr:row>12</xdr:row>
      <xdr:rowOff>136603</xdr:rowOff>
    </xdr:from>
    <xdr:to>
      <xdr:col>5</xdr:col>
      <xdr:colOff>843216</xdr:colOff>
      <xdr:row>22</xdr:row>
      <xdr:rowOff>103951</xdr:rowOff>
    </xdr:to>
    <xdr:graphicFrame>
      <xdr:nvGraphicFramePr>
        <xdr:cNvPr id="9" name="2D Area Chart"/>
        <xdr:cNvGraphicFramePr/>
      </xdr:nvGraphicFramePr>
      <xdr:xfrm>
        <a:off x="6403594" y="3591003"/>
        <a:ext cx="3609023" cy="2494649"/>
      </xdr:xfrm>
      <a:graphic xmlns:a="http://schemas.openxmlformats.org/drawingml/2006/main">
        <a:graphicData uri="http://schemas.openxmlformats.org/drawingml/2006/chart">
          <c:chart xmlns:c="http://schemas.openxmlformats.org/drawingml/2006/chart" r:id="rId3"/>
        </a:graphicData>
      </a:graphic>
    </xdr:graphicFrame>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159067</xdr:rowOff>
    </xdr:from>
    <xdr:to>
      <xdr:col>0</xdr:col>
      <xdr:colOff>4660900</xdr:colOff>
      <xdr:row>6</xdr:row>
      <xdr:rowOff>144462</xdr:rowOff>
    </xdr:to>
    <xdr:sp>
      <xdr:nvSpPr>
        <xdr:cNvPr id="11" name="Bubble charts show correlations between three points of data in a series: x values, y values and sizes.…"/>
        <xdr:cNvSpPr txBox="1"/>
      </xdr:nvSpPr>
      <xdr:spPr>
        <a:xfrm>
          <a:off x="-19050" y="159067"/>
          <a:ext cx="4660900" cy="176720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rtl="0" latinLnBrk="0">
            <a:lnSpc>
              <a:spcPct val="100000"/>
            </a:lnSpc>
            <a:spcBef>
              <a:spcPts val="0"/>
            </a:spcBef>
            <a:spcAft>
              <a:spcPts val="0"/>
            </a:spcAft>
            <a:buClrTx/>
            <a:buSzTx/>
            <a:buFontTx/>
            <a:buNone/>
            <a:defRPr b="0" baseline="0" cap="none" i="0" spc="0" strike="noStrike" sz="1400" u="none">
              <a:solidFill>
                <a:srgbClr val="000000"/>
              </a:solidFill>
              <a:uFillTx/>
              <a:latin typeface="+mn-lt"/>
              <a:ea typeface="+mn-ea"/>
              <a:cs typeface="+mn-cs"/>
              <a:sym typeface="Helvetica Neue"/>
            </a:defRPr>
          </a:pPr>
          <a:r>
            <a:rPr b="1" baseline="0" cap="none" i="0" spc="0" strike="noStrike" sz="1400" u="none">
              <a:solidFill>
                <a:srgbClr val="000000"/>
              </a:solidFill>
              <a:uFillTx/>
              <a:latin typeface="+mn-lt"/>
              <a:ea typeface="+mn-ea"/>
              <a:cs typeface="+mn-cs"/>
              <a:sym typeface="Helvetica Neue"/>
            </a:rPr>
            <a:t>Bubble</a:t>
          </a:r>
          <a:r>
            <a:rPr b="0" baseline="0" cap="none" i="0" spc="0" strike="noStrike" sz="1400" u="none">
              <a:solidFill>
                <a:srgbClr val="000000"/>
              </a:solidFill>
              <a:uFillTx/>
              <a:latin typeface="+mn-lt"/>
              <a:ea typeface="+mn-ea"/>
              <a:cs typeface="+mn-cs"/>
              <a:sym typeface="Helvetica Neue"/>
            </a:rPr>
            <a:t> charts show correlations between three points of data in a series: x values, y values and sizes. </a:t>
          </a:r>
          <a:endParaRPr b="0" baseline="0" cap="none" i="0" spc="0" strike="noStrike" sz="14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400" u="none">
              <a:solidFill>
                <a:srgbClr val="000000"/>
              </a:solidFill>
              <a:uFillTx/>
              <a:latin typeface="+mn-lt"/>
              <a:ea typeface="+mn-ea"/>
              <a:cs typeface="+mn-cs"/>
              <a:sym typeface="Helvetica Neue"/>
            </a:defRPr>
          </a:pPr>
          <a:endParaRPr b="0" baseline="0" cap="none" i="0" spc="0" strike="noStrike" sz="1400" u="none">
            <a:solidFill>
              <a:srgbClr val="000000"/>
            </a:solidFill>
            <a:uFillTx/>
            <a:latin typeface="+mn-lt"/>
            <a:ea typeface="+mn-ea"/>
            <a:cs typeface="+mn-cs"/>
            <a:sym typeface="Helvetica Neue"/>
          </a:endParaRPr>
        </a:p>
        <a:p>
          <a:pPr marL="0" marR="0" indent="0" algn="l" defTabSz="457200" rtl="0" latinLnBrk="0">
            <a:lnSpc>
              <a:spcPct val="100000"/>
            </a:lnSpc>
            <a:spcBef>
              <a:spcPts val="0"/>
            </a:spcBef>
            <a:spcAft>
              <a:spcPts val="0"/>
            </a:spcAft>
            <a:buClrTx/>
            <a:buSzTx/>
            <a:buFontTx/>
            <a:buNone/>
            <a:defRPr b="0" baseline="0" cap="none" i="0" spc="0" strike="noStrike" sz="1400" u="none">
              <a:solidFill>
                <a:srgbClr val="000000"/>
              </a:solidFill>
              <a:uFillTx/>
              <a:latin typeface="+mn-lt"/>
              <a:ea typeface="+mn-ea"/>
              <a:cs typeface="+mn-cs"/>
              <a:sym typeface="Helvetica Neue"/>
            </a:defRPr>
          </a:pPr>
          <a:r>
            <a:rPr b="0" baseline="0" cap="none" i="0" spc="0" strike="noStrike" sz="1400" u="none">
              <a:solidFill>
                <a:srgbClr val="000000"/>
              </a:solidFill>
              <a:uFillTx/>
              <a:latin typeface="+mn-lt"/>
              <a:ea typeface="+mn-ea"/>
              <a:cs typeface="+mn-cs"/>
              <a:sym typeface="Helvetica Neue"/>
            </a:rPr>
            <a:t>For example, bubble charts can be used to illustrate how profit correlates to the number of employees and units sold, or to suggest a trend in birth rates compared to the populations of different countries over time.</a:t>
          </a:r>
        </a:p>
      </xdr:txBody>
    </xdr:sp>
    <xdr:clientData/>
  </xdr:twoCellAnchor>
</xdr:wsDr>
</file>

<file path=xl/drawings/drawing4.xml><?xml version="1.0" encoding="utf-8"?>
<xdr:wsDr xmlns:r="http://schemas.openxmlformats.org/officeDocument/2006/relationships" xmlns:a="http://schemas.openxmlformats.org/drawingml/2006/main" xmlns:xdr="http://schemas.openxmlformats.org/drawingml/2006/spreadsheetDrawing">
  <xdr:twoCellAnchor>
    <xdr:from>
      <xdr:col>0</xdr:col>
      <xdr:colOff>0</xdr:colOff>
      <xdr:row>2</xdr:row>
      <xdr:rowOff>0</xdr:rowOff>
    </xdr:from>
    <xdr:to>
      <xdr:col>8</xdr:col>
      <xdr:colOff>0</xdr:colOff>
      <xdr:row>19</xdr:row>
      <xdr:rowOff>0</xdr:rowOff>
    </xdr:to>
    <xdr:graphicFrame>
      <xdr:nvGraphicFramePr>
        <xdr:cNvPr id="2" name="Outdoor and Room Temperatures"/>
        <xdr:cNvGraphicFramePr/>
      </xdr:nvGraphicFramePr>
      <xdr:xfrm>
        <a:off x="0" y="0"/>
        <a:ext cx="0" cy="0"/>
      </xdr:xfrm>
      <a:graphic>
        <a:graphicData uri="http://schemas.openxmlformats.org/drawingml/2006/chart">
          <c:chart xmlns:c="http://schemas.openxmlformats.org/drawingml/2006/chart" r:id="rId1"/>
        </a:graphicData>
      </a:graphic>
    </xdr:graphicFrame>
    <xdr:clientData/>
  </xdr:twoCellAnchor>
  <xdr:twoCellAnchor>
    <xdr:from>
      <xdr:col>0</xdr:col>
      <xdr:colOff>0</xdr:colOff>
      <xdr:row>21</xdr:row>
      <xdr:rowOff>0</xdr:rowOff>
    </xdr:from>
    <xdr:to>
      <xdr:col>8</xdr:col>
      <xdr:colOff>0</xdr:colOff>
      <xdr:row>38</xdr:row>
      <xdr:rowOff>0</xdr:rowOff>
    </xdr:to>
    <xdr:graphicFrame>
      <xdr:nvGraphicFramePr>
        <xdr:cNvPr id="3" name="Targets and Heatpump Signal"/>
        <xdr:cNvGraphicFramePr/>
      </xdr:nvGraphicFramePr>
      <xdr:xfrm>
        <a:off x="0" y="0"/>
        <a:ext cx="0" cy="0"/>
      </xdr:xfrm>
      <a:graphic>
        <a:graphicData uri="http://schemas.openxmlformats.org/drawingml/2006/chart">
          <c:chart xmlns:c="http://schemas.openxmlformats.org/drawingml/2006/chart" r:id="rId2"/>
        </a:graphicData>
      </a:graphic>
    </xdr:graphicFrame>
    <xdr:clientData/>
  </xdr:twoCellAnchor>
  <xdr:twoCellAnchor>
    <xdr:from>
      <xdr:col>9</xdr:col>
      <xdr:colOff>0</xdr:colOff>
      <xdr:row>2</xdr:row>
      <xdr:rowOff>0</xdr:rowOff>
    </xdr:from>
    <xdr:to>
      <xdr:col>17</xdr:col>
      <xdr:colOff>0</xdr:colOff>
      <xdr:row>19</xdr:row>
      <xdr:rowOff>0</xdr:rowOff>
    </xdr:to>
    <xdr:graphicFrame>
      <xdr:nvGraphicFramePr>
        <xdr:cNvPr id="4" name="Binary State Signals"/>
        <xdr:cNvGraphicFramePr/>
      </xdr:nvGraphicFramePr>
      <xdr:xfrm>
        <a:off x="0" y="0"/>
        <a:ext cx="0" cy="0"/>
      </xdr:xfrm>
      <a:graphic>
        <a:graphicData uri="http://schemas.openxmlformats.org/drawingml/2006/chart">
          <c:chart xmlns:c="http://schemas.openxmlformats.org/drawingml/2006/chart" r:id="rId3"/>
        </a:graphicData>
      </a:graphic>
    </xdr:graphicFrame>
    <xdr:clientData/>
  </xdr:twoCellAnchor>
  <xdr:twoCellAnchor>
    <xdr:from>
      <xdr:col>9</xdr:col>
      <xdr:colOff>0</xdr:colOff>
      <xdr:row>21</xdr:row>
      <xdr:rowOff>0</xdr:rowOff>
    </xdr:from>
    <xdr:to>
      <xdr:col>17</xdr:col>
      <xdr:colOff>0</xdr:colOff>
      <xdr:row>38</xdr:row>
      <xdr:rowOff>0</xdr:rowOff>
    </xdr:to>
    <xdr:graphicFrame>
      <xdr:nvGraphicFramePr>
        <xdr:cNvPr id="5" name="Comfort Deficit and Boost"/>
        <xdr:cNvGraphicFramePr/>
      </xdr:nvGraphicFramePr>
      <xdr:xfrm>
        <a:off x="0" y="0"/>
        <a:ext cx="0" cy="0"/>
      </xdr:xfrm>
      <a:graphic>
        <a:graphicData uri="http://schemas.openxmlformats.org/drawingml/2006/chart">
          <c:chart xmlns:c="http://schemas.openxmlformats.org/drawingml/2006/chart" r:id="rId4"/>
        </a:graphicData>
      </a:graphic>
    </xdr:graphicFrame>
    <xdr:clientData/>
  </xdr:twoCellAnchor>
</xdr:wsDr>
</file>

<file path=xl/theme/theme1.xml><?xml version="1.0" encoding="utf-8"?>
<a:theme xmlns:a="http://schemas.openxmlformats.org/drawingml/2006/main" xmlns:r="http://schemas.openxmlformats.org/officeDocument/2006/relationships" name="21_Simple_Charts">
  <a:themeElements>
    <a:clrScheme name="21_Simple_Charts">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21_Simple_Charts">
      <a:majorFont>
        <a:latin typeface="Helvetica Neue"/>
        <a:ea typeface="Helvetica Neue"/>
        <a:cs typeface="Helvetica Neue"/>
      </a:majorFont>
      <a:minorFont>
        <a:latin typeface="Helvetica Neue"/>
        <a:ea typeface="Helvetica Neue"/>
        <a:cs typeface="Helvetica Neue"/>
      </a:minorFont>
    </a:fontScheme>
    <a:fmtScheme name="21_Simple_Char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_rels/sheet7.xml.rels><?xml version="1.0" encoding="UTF-8"?><Relationships xmlns="http://schemas.openxmlformats.org/package/2006/relationships"><Relationship Id="rId1" Type="http://schemas.openxmlformats.org/officeDocument/2006/relationships/drawing" Target="../drawings/drawing4.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0.05" customHeight="1">
      <c r="B3" t="s" s="1">
        <v>0</v>
      </c>
      <c r="C3"/>
      <c r="D3"/>
    </row>
    <row r="7">
      <c r="B7" t="s" s="2">
        <v>1</v>
      </c>
      <c r="C7" t="s" s="2">
        <v>2</v>
      </c>
      <c r="D7" t="s" s="2">
        <v>3</v>
      </c>
    </row>
    <row r="9">
      <c r="B9" t="s" s="3">
        <v>4</v>
      </c>
      <c r="C9" s="3"/>
      <c r="D9" s="3"/>
    </row>
    <row r="10">
      <c r="B10" s="4"/>
      <c r="C10" t="s" s="4">
        <v>5</v>
      </c>
      <c r="D10" t="s" s="5">
        <v>6</v>
      </c>
    </row>
    <row r="11">
      <c r="B11" t="s" s="3">
        <v>12</v>
      </c>
      <c r="C11" s="3"/>
      <c r="D11" s="3"/>
    </row>
    <row r="12">
      <c r="B12" s="4"/>
      <c r="C12" t="s" s="4">
        <v>13</v>
      </c>
      <c r="D12" t="s" s="5">
        <v>14</v>
      </c>
    </row>
    <row r="13">
      <c r="B13" t="s" s="3">
        <v>19</v>
      </c>
      <c r="C13" s="3"/>
      <c r="D13" s="3"/>
    </row>
    <row r="14">
      <c r="B14" s="4"/>
      <c r="C14" t="s" s="4">
        <v>20</v>
      </c>
      <c r="D14" t="s" s="5">
        <v>21</v>
      </c>
    </row>
  </sheetData>
  <mergeCells count="1">
    <mergeCell ref="B3:D3"/>
  </mergeCells>
  <hyperlinks>
    <hyperlink ref="D10" location="'Legacy - Graph Special Cases'!R2C2" tooltip="" display="Legacy - Graph Special Cases"/>
    <hyperlink ref="D12" location="'Legacy - Graph Main Scenarios'!R2C2" tooltip="" display="Legacy - Graph Main Scenarios"/>
    <hyperlink ref="D14" location="'Legacy - Scenario Matrix'!R2C2" tooltip="" display="Legacy - Scenario Matrix"/>
  </hyperlinks>
</worksheet>
</file>

<file path=xl/worksheets/sheet2.xml><?xml version="1.0" encoding="utf-8"?>
<worksheet xmlns:r="http://schemas.openxmlformats.org/officeDocument/2006/relationships" xmlns="http://schemas.openxmlformats.org/spreadsheetml/2006/main">
  <sheetPr>
    <pageSetUpPr fitToPage="1"/>
  </sheetPr>
  <dimension ref="B2:C5"/>
  <sheetViews>
    <sheetView workbookViewId="0" showGridLines="0" defaultGridColor="1"/>
  </sheetViews>
  <sheetFormatPr defaultColWidth="27.75" defaultRowHeight="19.9" customHeight="1" outlineLevelRow="0" outlineLevelCol="0"/>
  <cols>
    <col min="1" max="1" width="64.6719" style="6" customWidth="1"/>
    <col min="2" max="3" width="27.75" style="6" customWidth="1"/>
    <col min="4" max="16384" width="27.75" style="6" customWidth="1"/>
  </cols>
  <sheetData>
    <row r="1" ht="27.65" customHeight="1">
      <c r="B1" t="s" s="7">
        <v>5</v>
      </c>
      <c r="C1" s="7"/>
    </row>
    <row r="2" ht="20.25" customHeight="1">
      <c r="B2" t="s" s="8">
        <v>7</v>
      </c>
      <c r="C2" t="s" s="8">
        <v>8</v>
      </c>
    </row>
    <row r="3" ht="20.25" customHeight="1">
      <c r="B3" t="s" s="9">
        <v>9</v>
      </c>
      <c r="C3" s="10">
        <v>10</v>
      </c>
    </row>
    <row r="4" ht="20.05" customHeight="1">
      <c r="B4" t="s" s="11">
        <v>10</v>
      </c>
      <c r="C4" s="12">
        <v>20</v>
      </c>
    </row>
    <row r="5" ht="20.05" customHeight="1">
      <c r="B5" t="s" s="11">
        <v>11</v>
      </c>
      <c r="C5" s="13">
        <v>20</v>
      </c>
    </row>
  </sheetData>
  <mergeCells count="1">
    <mergeCell ref="B1:C1"/>
  </mergeCells>
  <pageMargins left="0.416667" right="0.416667" top="0.25" bottom="0.25" header="0.25" footer="0.25"/>
  <pageSetup firstPageNumber="1" fitToHeight="1" fitToWidth="1" scale="100" useFirstPageNumber="0" orientation="landscape"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B2:E8"/>
  <sheetViews>
    <sheetView workbookViewId="0" showGridLines="0" defaultGridColor="1"/>
  </sheetViews>
  <sheetFormatPr defaultColWidth="16.6442" defaultRowHeight="19.9" customHeight="1" outlineLevelRow="0" outlineLevelCol="0"/>
  <cols>
    <col min="1" max="1" width="64.6719" style="14" customWidth="1"/>
    <col min="2" max="2" width="16.6562" style="14" customWidth="1"/>
    <col min="3" max="5" width="12.9609" style="14" customWidth="1"/>
    <col min="6" max="16384" width="16.6562" style="14" customWidth="1"/>
  </cols>
  <sheetData>
    <row r="1" ht="27.65" customHeight="1">
      <c r="B1" t="s" s="7">
        <v>13</v>
      </c>
      <c r="C1" s="7"/>
      <c r="D1" s="7"/>
      <c r="E1" s="7"/>
    </row>
    <row r="2" ht="44.25" customHeight="1">
      <c r="B2" t="s" s="8">
        <v>15</v>
      </c>
      <c r="C2" t="s" s="15">
        <v>16</v>
      </c>
      <c r="D2" t="s" s="15">
        <v>17</v>
      </c>
      <c r="E2" t="s" s="15">
        <v>18</v>
      </c>
    </row>
    <row r="3" ht="20.25" customHeight="1">
      <c r="B3" s="16">
        <v>-20</v>
      </c>
      <c r="C3" s="17">
        <v>19</v>
      </c>
      <c r="D3" s="18">
        <v>17</v>
      </c>
      <c r="E3" s="18">
        <v>20</v>
      </c>
    </row>
    <row r="4" ht="20.05" customHeight="1">
      <c r="B4" s="19">
        <v>-15</v>
      </c>
      <c r="C4" s="20">
        <v>19</v>
      </c>
      <c r="D4" s="21">
        <v>17</v>
      </c>
      <c r="E4" s="21">
        <v>20</v>
      </c>
    </row>
    <row r="5" ht="20.05" customHeight="1">
      <c r="B5" s="19">
        <v>-5</v>
      </c>
      <c r="C5" s="22">
        <v>19</v>
      </c>
      <c r="D5" s="23">
        <v>19</v>
      </c>
      <c r="E5" s="23">
        <v>22</v>
      </c>
    </row>
    <row r="6" ht="20.05" customHeight="1">
      <c r="B6" s="19">
        <v>5</v>
      </c>
      <c r="C6" s="20">
        <v>19</v>
      </c>
      <c r="D6" s="21">
        <v>20</v>
      </c>
      <c r="E6" s="21">
        <v>23</v>
      </c>
    </row>
    <row r="7" ht="20.05" customHeight="1">
      <c r="B7" s="19">
        <v>7</v>
      </c>
      <c r="C7" s="22">
        <v>20</v>
      </c>
      <c r="D7" s="23">
        <v>20</v>
      </c>
      <c r="E7" s="23">
        <v>23</v>
      </c>
    </row>
    <row r="8" ht="20.05" customHeight="1">
      <c r="B8" s="19">
        <v>15</v>
      </c>
      <c r="C8" s="20">
        <v>20</v>
      </c>
      <c r="D8" s="21">
        <v>20</v>
      </c>
      <c r="E8" s="21">
        <v>23</v>
      </c>
    </row>
  </sheetData>
  <mergeCells count="1">
    <mergeCell ref="B1:E1"/>
  </mergeCells>
  <pageMargins left="0.416667" right="0.416667" top="0.25" bottom="0.25" header="0.25" footer="0.25"/>
  <pageSetup firstPageNumber="1" fitToHeight="1" fitToWidth="1" scale="100" useFirstPageNumber="0" orientation="landscape"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pageSetUpPr fitToPage="1"/>
  </sheetPr>
  <dimension ref="B2:L29"/>
  <sheetViews>
    <sheetView workbookViewId="0" showGridLines="0" defaultGridColor="1"/>
  </sheetViews>
  <sheetFormatPr defaultColWidth="18.5" defaultRowHeight="19.9" customHeight="1" outlineLevelRow="0" outlineLevelCol="0"/>
  <cols>
    <col min="1" max="1" width="64.6719" style="24" customWidth="1"/>
    <col min="2" max="12" width="18.5" style="24" customWidth="1"/>
    <col min="13" max="16384" width="18.5" style="24" customWidth="1"/>
  </cols>
  <sheetData>
    <row r="1" ht="27.65" customHeight="1">
      <c r="B1" t="s" s="7">
        <v>20</v>
      </c>
      <c r="C1" s="7"/>
      <c r="D1" s="7"/>
      <c r="E1" s="7"/>
      <c r="F1" s="7"/>
      <c r="G1" s="7"/>
      <c r="H1" s="7"/>
      <c r="I1" s="7"/>
      <c r="J1" s="7"/>
      <c r="K1" s="7"/>
      <c r="L1" s="7"/>
    </row>
    <row r="2" ht="32.25" customHeight="1">
      <c r="B2" t="s" s="15">
        <v>22</v>
      </c>
      <c r="C2" t="s" s="15">
        <v>15</v>
      </c>
      <c r="D2" t="s" s="15">
        <v>23</v>
      </c>
      <c r="E2" t="s" s="15">
        <v>24</v>
      </c>
      <c r="F2" t="s" s="15">
        <v>25</v>
      </c>
      <c r="G2" t="s" s="15">
        <v>26</v>
      </c>
      <c r="H2" t="s" s="15">
        <v>27</v>
      </c>
      <c r="I2" t="s" s="15">
        <v>28</v>
      </c>
      <c r="J2" t="s" s="15">
        <v>29</v>
      </c>
      <c r="K2" t="s" s="15">
        <v>30</v>
      </c>
      <c r="L2" t="s" s="15">
        <v>31</v>
      </c>
    </row>
    <row r="3" ht="20.25" customHeight="1">
      <c r="B3" t="s" s="25">
        <v>16</v>
      </c>
      <c r="C3" s="18">
        <v>-20</v>
      </c>
      <c r="D3" t="b" s="26">
        <v>1</v>
      </c>
      <c r="E3" t="s" s="25">
        <v>32</v>
      </c>
      <c r="F3" t="s" s="25">
        <v>33</v>
      </c>
      <c r="G3" t="s" s="25">
        <v>34</v>
      </c>
      <c r="H3" t="s" s="25">
        <v>35</v>
      </c>
      <c r="I3" t="s" s="25">
        <v>36</v>
      </c>
      <c r="J3" t="s" s="25">
        <v>35</v>
      </c>
      <c r="K3" t="s" s="25">
        <v>37</v>
      </c>
      <c r="L3" t="s" s="25">
        <v>35</v>
      </c>
    </row>
    <row r="4" ht="20.05" customHeight="1">
      <c r="B4" t="s" s="27">
        <v>16</v>
      </c>
      <c r="C4" s="21">
        <v>-15</v>
      </c>
      <c r="D4" t="b" s="28">
        <v>1</v>
      </c>
      <c r="E4" t="s" s="27">
        <v>32</v>
      </c>
      <c r="F4" t="s" s="27">
        <v>33</v>
      </c>
      <c r="G4" t="s" s="27">
        <v>34</v>
      </c>
      <c r="H4" t="s" s="27">
        <v>35</v>
      </c>
      <c r="I4" t="s" s="27">
        <v>36</v>
      </c>
      <c r="J4" t="s" s="27">
        <v>35</v>
      </c>
      <c r="K4" t="s" s="27">
        <v>37</v>
      </c>
      <c r="L4" t="s" s="27">
        <v>35</v>
      </c>
    </row>
    <row r="5" ht="20.05" customHeight="1">
      <c r="B5" t="s" s="29">
        <v>16</v>
      </c>
      <c r="C5" s="23">
        <v>-5</v>
      </c>
      <c r="D5" t="b" s="30">
        <v>1</v>
      </c>
      <c r="E5" t="s" s="29">
        <v>32</v>
      </c>
      <c r="F5" t="s" s="29">
        <v>33</v>
      </c>
      <c r="G5" t="s" s="29">
        <v>34</v>
      </c>
      <c r="H5" t="s" s="29">
        <v>35</v>
      </c>
      <c r="I5" t="s" s="29">
        <v>38</v>
      </c>
      <c r="J5" t="s" s="29">
        <v>35</v>
      </c>
      <c r="K5" t="s" s="29">
        <v>37</v>
      </c>
      <c r="L5" t="s" s="29">
        <v>35</v>
      </c>
    </row>
    <row r="6" ht="20.05" customHeight="1">
      <c r="B6" t="s" s="27">
        <v>16</v>
      </c>
      <c r="C6" s="21">
        <v>5</v>
      </c>
      <c r="D6" t="b" s="28">
        <v>1</v>
      </c>
      <c r="E6" t="s" s="27">
        <v>32</v>
      </c>
      <c r="F6" t="s" s="27">
        <v>33</v>
      </c>
      <c r="G6" t="s" s="27">
        <v>34</v>
      </c>
      <c r="H6" t="s" s="27">
        <v>35</v>
      </c>
      <c r="I6" t="s" s="27">
        <v>39</v>
      </c>
      <c r="J6" t="s" s="27">
        <v>35</v>
      </c>
      <c r="K6" t="s" s="27">
        <v>37</v>
      </c>
      <c r="L6" t="s" s="27">
        <v>35</v>
      </c>
    </row>
    <row r="7" ht="20.05" customHeight="1">
      <c r="B7" t="s" s="29">
        <v>16</v>
      </c>
      <c r="C7" s="23">
        <v>7</v>
      </c>
      <c r="D7" t="b" s="30">
        <v>1</v>
      </c>
      <c r="E7" t="s" s="29">
        <v>32</v>
      </c>
      <c r="F7" t="s" s="29">
        <v>33</v>
      </c>
      <c r="G7" t="s" s="29">
        <v>34</v>
      </c>
      <c r="H7" t="s" s="29">
        <v>40</v>
      </c>
      <c r="I7" t="s" s="29">
        <v>39</v>
      </c>
      <c r="J7" t="s" s="29">
        <v>40</v>
      </c>
      <c r="K7" t="s" s="29">
        <v>37</v>
      </c>
      <c r="L7" t="s" s="29">
        <v>40</v>
      </c>
    </row>
    <row r="8" ht="20.05" customHeight="1">
      <c r="B8" t="s" s="27">
        <v>16</v>
      </c>
      <c r="C8" s="21">
        <v>15</v>
      </c>
      <c r="D8" t="b" s="28">
        <v>1</v>
      </c>
      <c r="E8" t="s" s="27">
        <v>32</v>
      </c>
      <c r="F8" t="s" s="27">
        <v>33</v>
      </c>
      <c r="G8" t="s" s="27">
        <v>34</v>
      </c>
      <c r="H8" t="s" s="27">
        <v>40</v>
      </c>
      <c r="I8" t="s" s="27">
        <v>39</v>
      </c>
      <c r="J8" t="s" s="27">
        <v>40</v>
      </c>
      <c r="K8" t="s" s="27">
        <v>37</v>
      </c>
      <c r="L8" t="s" s="27">
        <v>40</v>
      </c>
    </row>
    <row r="9" ht="32.05" customHeight="1">
      <c r="B9" t="s" s="29">
        <v>41</v>
      </c>
      <c r="C9" s="23">
        <v>-20</v>
      </c>
      <c r="D9" t="b" s="30">
        <v>0</v>
      </c>
      <c r="E9" t="s" s="29">
        <v>33</v>
      </c>
      <c r="F9" t="s" s="29">
        <v>33</v>
      </c>
      <c r="G9" t="s" s="29">
        <v>42</v>
      </c>
      <c r="H9" t="s" s="29">
        <v>35</v>
      </c>
      <c r="I9" t="s" s="29">
        <v>36</v>
      </c>
      <c r="J9" t="s" s="29">
        <v>43</v>
      </c>
      <c r="K9" t="s" s="29">
        <v>37</v>
      </c>
      <c r="L9" t="s" s="29">
        <v>43</v>
      </c>
    </row>
    <row r="10" ht="32.05" customHeight="1">
      <c r="B10" t="s" s="27">
        <v>41</v>
      </c>
      <c r="C10" s="21">
        <v>-15</v>
      </c>
      <c r="D10" t="b" s="28">
        <v>0</v>
      </c>
      <c r="E10" t="s" s="27">
        <v>33</v>
      </c>
      <c r="F10" t="s" s="27">
        <v>33</v>
      </c>
      <c r="G10" t="s" s="27">
        <v>42</v>
      </c>
      <c r="H10" t="s" s="27">
        <v>35</v>
      </c>
      <c r="I10" t="s" s="27">
        <v>36</v>
      </c>
      <c r="J10" t="s" s="27">
        <v>43</v>
      </c>
      <c r="K10" t="s" s="27">
        <v>37</v>
      </c>
      <c r="L10" t="s" s="27">
        <v>43</v>
      </c>
    </row>
    <row r="11" ht="32.05" customHeight="1">
      <c r="B11" t="s" s="29">
        <v>41</v>
      </c>
      <c r="C11" s="23">
        <v>-5</v>
      </c>
      <c r="D11" t="b" s="30">
        <v>0</v>
      </c>
      <c r="E11" t="s" s="29">
        <v>33</v>
      </c>
      <c r="F11" t="s" s="29">
        <v>33</v>
      </c>
      <c r="G11" t="s" s="29">
        <v>42</v>
      </c>
      <c r="H11" t="s" s="29">
        <v>35</v>
      </c>
      <c r="I11" t="s" s="29">
        <v>38</v>
      </c>
      <c r="J11" t="s" s="29">
        <v>35</v>
      </c>
      <c r="K11" t="s" s="29">
        <v>37</v>
      </c>
      <c r="L11" t="s" s="29">
        <v>35</v>
      </c>
    </row>
    <row r="12" ht="32.05" customHeight="1">
      <c r="B12" t="s" s="27">
        <v>41</v>
      </c>
      <c r="C12" s="21">
        <v>5</v>
      </c>
      <c r="D12" t="b" s="28">
        <v>0</v>
      </c>
      <c r="E12" t="s" s="27">
        <v>33</v>
      </c>
      <c r="F12" t="s" s="27">
        <v>33</v>
      </c>
      <c r="G12" t="s" s="27">
        <v>42</v>
      </c>
      <c r="H12" t="s" s="27">
        <v>35</v>
      </c>
      <c r="I12" t="s" s="27">
        <v>39</v>
      </c>
      <c r="J12" t="s" s="27">
        <v>40</v>
      </c>
      <c r="K12" t="s" s="27">
        <v>37</v>
      </c>
      <c r="L12" t="s" s="27">
        <v>40</v>
      </c>
    </row>
    <row r="13" ht="32.05" customHeight="1">
      <c r="B13" t="s" s="29">
        <v>41</v>
      </c>
      <c r="C13" s="23">
        <v>7</v>
      </c>
      <c r="D13" t="b" s="30">
        <v>0</v>
      </c>
      <c r="E13" t="s" s="29">
        <v>33</v>
      </c>
      <c r="F13" t="s" s="29">
        <v>33</v>
      </c>
      <c r="G13" t="s" s="29">
        <v>42</v>
      </c>
      <c r="H13" t="s" s="29">
        <v>40</v>
      </c>
      <c r="I13" t="s" s="29">
        <v>39</v>
      </c>
      <c r="J13" t="s" s="29">
        <v>40</v>
      </c>
      <c r="K13" t="s" s="29">
        <v>37</v>
      </c>
      <c r="L13" t="s" s="29">
        <v>40</v>
      </c>
    </row>
    <row r="14" ht="32.05" customHeight="1">
      <c r="B14" t="s" s="27">
        <v>41</v>
      </c>
      <c r="C14" s="21">
        <v>15</v>
      </c>
      <c r="D14" t="b" s="28">
        <v>0</v>
      </c>
      <c r="E14" t="s" s="27">
        <v>33</v>
      </c>
      <c r="F14" t="s" s="27">
        <v>33</v>
      </c>
      <c r="G14" t="s" s="27">
        <v>42</v>
      </c>
      <c r="H14" t="s" s="27">
        <v>40</v>
      </c>
      <c r="I14" t="s" s="27">
        <v>39</v>
      </c>
      <c r="J14" t="s" s="27">
        <v>40</v>
      </c>
      <c r="K14" t="s" s="27">
        <v>37</v>
      </c>
      <c r="L14" t="s" s="27">
        <v>40</v>
      </c>
    </row>
    <row r="15" ht="44.05" customHeight="1">
      <c r="B15" t="s" s="29">
        <v>44</v>
      </c>
      <c r="C15" s="23">
        <v>-20</v>
      </c>
      <c r="D15" t="b" s="30">
        <v>0</v>
      </c>
      <c r="E15" t="s" s="29">
        <v>33</v>
      </c>
      <c r="F15" t="s" s="29">
        <v>33</v>
      </c>
      <c r="G15" t="s" s="29">
        <v>42</v>
      </c>
      <c r="H15" t="s" s="29">
        <v>35</v>
      </c>
      <c r="I15" t="s" s="29">
        <v>45</v>
      </c>
      <c r="J15" t="s" s="29">
        <v>40</v>
      </c>
      <c r="K15" t="s" s="29">
        <v>37</v>
      </c>
      <c r="L15" t="s" s="29">
        <v>40</v>
      </c>
    </row>
    <row r="16" ht="44.05" customHeight="1">
      <c r="B16" t="s" s="27">
        <v>44</v>
      </c>
      <c r="C16" s="21">
        <v>-15</v>
      </c>
      <c r="D16" t="b" s="28">
        <v>0</v>
      </c>
      <c r="E16" t="s" s="27">
        <v>33</v>
      </c>
      <c r="F16" t="s" s="27">
        <v>33</v>
      </c>
      <c r="G16" t="s" s="27">
        <v>42</v>
      </c>
      <c r="H16" t="s" s="27">
        <v>35</v>
      </c>
      <c r="I16" t="s" s="27">
        <v>45</v>
      </c>
      <c r="J16" t="s" s="27">
        <v>40</v>
      </c>
      <c r="K16" t="s" s="27">
        <v>37</v>
      </c>
      <c r="L16" t="s" s="27">
        <v>40</v>
      </c>
    </row>
    <row r="17" ht="44.05" customHeight="1">
      <c r="B17" t="s" s="29">
        <v>44</v>
      </c>
      <c r="C17" s="23">
        <v>-5</v>
      </c>
      <c r="D17" t="b" s="30">
        <v>0</v>
      </c>
      <c r="E17" t="s" s="29">
        <v>33</v>
      </c>
      <c r="F17" t="s" s="29">
        <v>33</v>
      </c>
      <c r="G17" t="s" s="29">
        <v>42</v>
      </c>
      <c r="H17" t="s" s="29">
        <v>35</v>
      </c>
      <c r="I17" t="s" s="29">
        <v>46</v>
      </c>
      <c r="J17" t="s" s="29">
        <v>47</v>
      </c>
      <c r="K17" t="s" s="29">
        <v>37</v>
      </c>
      <c r="L17" t="s" s="29">
        <v>47</v>
      </c>
    </row>
    <row r="18" ht="44.05" customHeight="1">
      <c r="B18" t="s" s="27">
        <v>44</v>
      </c>
      <c r="C18" s="21">
        <v>5</v>
      </c>
      <c r="D18" t="b" s="28">
        <v>0</v>
      </c>
      <c r="E18" t="s" s="27">
        <v>33</v>
      </c>
      <c r="F18" t="s" s="27">
        <v>33</v>
      </c>
      <c r="G18" t="s" s="27">
        <v>42</v>
      </c>
      <c r="H18" t="s" s="27">
        <v>35</v>
      </c>
      <c r="I18" t="s" s="27">
        <v>48</v>
      </c>
      <c r="J18" t="s" s="27">
        <v>49</v>
      </c>
      <c r="K18" t="s" s="27">
        <v>37</v>
      </c>
      <c r="L18" t="s" s="27">
        <v>49</v>
      </c>
    </row>
    <row r="19" ht="44.05" customHeight="1">
      <c r="B19" t="s" s="29">
        <v>44</v>
      </c>
      <c r="C19" s="23">
        <v>7</v>
      </c>
      <c r="D19" t="b" s="30">
        <v>0</v>
      </c>
      <c r="E19" t="s" s="29">
        <v>33</v>
      </c>
      <c r="F19" t="s" s="29">
        <v>33</v>
      </c>
      <c r="G19" t="s" s="29">
        <v>42</v>
      </c>
      <c r="H19" t="s" s="29">
        <v>40</v>
      </c>
      <c r="I19" t="s" s="29">
        <v>48</v>
      </c>
      <c r="J19" t="s" s="29">
        <v>49</v>
      </c>
      <c r="K19" t="s" s="29">
        <v>37</v>
      </c>
      <c r="L19" t="s" s="29">
        <v>49</v>
      </c>
    </row>
    <row r="20" ht="44.05" customHeight="1">
      <c r="B20" t="s" s="27">
        <v>44</v>
      </c>
      <c r="C20" s="21">
        <v>15</v>
      </c>
      <c r="D20" t="b" s="28">
        <v>0</v>
      </c>
      <c r="E20" t="s" s="27">
        <v>33</v>
      </c>
      <c r="F20" t="s" s="27">
        <v>33</v>
      </c>
      <c r="G20" t="s" s="27">
        <v>42</v>
      </c>
      <c r="H20" t="s" s="27">
        <v>40</v>
      </c>
      <c r="I20" t="s" s="27">
        <v>48</v>
      </c>
      <c r="J20" t="s" s="27">
        <v>49</v>
      </c>
      <c r="K20" t="s" s="27">
        <v>37</v>
      </c>
      <c r="L20" t="s" s="27">
        <v>49</v>
      </c>
    </row>
    <row r="21" ht="32.05" customHeight="1">
      <c r="B21" t="s" s="29">
        <v>50</v>
      </c>
      <c r="C21" s="23">
        <v>-20</v>
      </c>
      <c r="D21" t="b" s="30">
        <v>0</v>
      </c>
      <c r="E21" t="s" s="29">
        <v>33</v>
      </c>
      <c r="F21" t="s" s="29">
        <v>33</v>
      </c>
      <c r="G21" t="s" s="29">
        <v>42</v>
      </c>
      <c r="H21" t="s" s="29">
        <v>35</v>
      </c>
      <c r="I21" t="s" s="29">
        <v>51</v>
      </c>
      <c r="J21" t="s" s="29">
        <v>40</v>
      </c>
      <c r="K21" t="s" s="29">
        <v>37</v>
      </c>
      <c r="L21" t="s" s="29">
        <v>40</v>
      </c>
    </row>
    <row r="22" ht="32.05" customHeight="1">
      <c r="B22" t="s" s="27">
        <v>50</v>
      </c>
      <c r="C22" s="21">
        <v>-15</v>
      </c>
      <c r="D22" t="b" s="28">
        <v>0</v>
      </c>
      <c r="E22" t="s" s="27">
        <v>33</v>
      </c>
      <c r="F22" t="s" s="27">
        <v>33</v>
      </c>
      <c r="G22" t="s" s="27">
        <v>42</v>
      </c>
      <c r="H22" t="s" s="27">
        <v>35</v>
      </c>
      <c r="I22" t="s" s="27">
        <v>51</v>
      </c>
      <c r="J22" t="s" s="27">
        <v>40</v>
      </c>
      <c r="K22" t="s" s="27">
        <v>37</v>
      </c>
      <c r="L22" t="s" s="27">
        <v>40</v>
      </c>
    </row>
    <row r="23" ht="32.05" customHeight="1">
      <c r="B23" t="s" s="29">
        <v>50</v>
      </c>
      <c r="C23" s="23">
        <v>-5</v>
      </c>
      <c r="D23" t="b" s="30">
        <v>0</v>
      </c>
      <c r="E23" t="s" s="29">
        <v>33</v>
      </c>
      <c r="F23" t="s" s="29">
        <v>33</v>
      </c>
      <c r="G23" t="s" s="29">
        <v>42</v>
      </c>
      <c r="H23" t="s" s="29">
        <v>35</v>
      </c>
      <c r="I23" t="s" s="29">
        <v>51</v>
      </c>
      <c r="J23" t="s" s="29">
        <v>40</v>
      </c>
      <c r="K23" t="s" s="29">
        <v>37</v>
      </c>
      <c r="L23" t="s" s="29">
        <v>40</v>
      </c>
    </row>
    <row r="24" ht="32.05" customHeight="1">
      <c r="B24" t="s" s="27">
        <v>50</v>
      </c>
      <c r="C24" s="21">
        <v>5</v>
      </c>
      <c r="D24" t="b" s="28">
        <v>0</v>
      </c>
      <c r="E24" t="s" s="27">
        <v>33</v>
      </c>
      <c r="F24" t="s" s="27">
        <v>33</v>
      </c>
      <c r="G24" t="s" s="27">
        <v>42</v>
      </c>
      <c r="H24" t="s" s="27">
        <v>35</v>
      </c>
      <c r="I24" t="s" s="27">
        <v>51</v>
      </c>
      <c r="J24" t="s" s="27">
        <v>40</v>
      </c>
      <c r="K24" t="s" s="27">
        <v>37</v>
      </c>
      <c r="L24" t="s" s="27">
        <v>40</v>
      </c>
    </row>
    <row r="25" ht="32.05" customHeight="1">
      <c r="B25" t="s" s="29">
        <v>50</v>
      </c>
      <c r="C25" s="23">
        <v>7</v>
      </c>
      <c r="D25" t="b" s="30">
        <v>0</v>
      </c>
      <c r="E25" t="s" s="29">
        <v>33</v>
      </c>
      <c r="F25" t="s" s="29">
        <v>33</v>
      </c>
      <c r="G25" t="s" s="29">
        <v>42</v>
      </c>
      <c r="H25" t="s" s="29">
        <v>40</v>
      </c>
      <c r="I25" t="s" s="29">
        <v>51</v>
      </c>
      <c r="J25" t="s" s="29">
        <v>40</v>
      </c>
      <c r="K25" t="s" s="29">
        <v>37</v>
      </c>
      <c r="L25" t="s" s="29">
        <v>40</v>
      </c>
    </row>
    <row r="26" ht="32.05" customHeight="1">
      <c r="B26" t="s" s="27">
        <v>50</v>
      </c>
      <c r="C26" s="21">
        <v>15</v>
      </c>
      <c r="D26" t="b" s="28">
        <v>0</v>
      </c>
      <c r="E26" t="s" s="27">
        <v>33</v>
      </c>
      <c r="F26" t="s" s="27">
        <v>33</v>
      </c>
      <c r="G26" t="s" s="27">
        <v>42</v>
      </c>
      <c r="H26" t="s" s="27">
        <v>40</v>
      </c>
      <c r="I26" t="s" s="27">
        <v>51</v>
      </c>
      <c r="J26" t="s" s="27">
        <v>40</v>
      </c>
      <c r="K26" t="s" s="27">
        <v>37</v>
      </c>
      <c r="L26" t="s" s="27">
        <v>40</v>
      </c>
    </row>
    <row r="27" ht="32.05" customHeight="1">
      <c r="B27" t="s" s="29">
        <v>9</v>
      </c>
      <c r="C27" s="23">
        <v>-15</v>
      </c>
      <c r="D27" t="b" s="30">
        <v>0</v>
      </c>
      <c r="E27" t="s" s="29">
        <v>33</v>
      </c>
      <c r="F27" t="s" s="29">
        <v>52</v>
      </c>
      <c r="G27" t="s" s="29">
        <v>53</v>
      </c>
      <c r="H27" t="s" s="29">
        <v>35</v>
      </c>
      <c r="I27" t="s" s="29">
        <v>36</v>
      </c>
      <c r="J27" t="s" s="29">
        <v>54</v>
      </c>
      <c r="K27" t="s" s="29">
        <v>37</v>
      </c>
      <c r="L27" t="s" s="29">
        <v>54</v>
      </c>
    </row>
    <row r="28" ht="32.05" customHeight="1">
      <c r="B28" t="s" s="27">
        <v>10</v>
      </c>
      <c r="C28" s="21">
        <v>5</v>
      </c>
      <c r="D28" t="b" s="28">
        <v>0</v>
      </c>
      <c r="E28" t="s" s="27">
        <v>33</v>
      </c>
      <c r="F28" t="s" s="27">
        <v>55</v>
      </c>
      <c r="G28" t="s" s="27">
        <v>42</v>
      </c>
      <c r="H28" t="s" s="27">
        <v>35</v>
      </c>
      <c r="I28" t="s" s="27">
        <v>51</v>
      </c>
      <c r="J28" t="s" s="27">
        <v>40</v>
      </c>
      <c r="K28" t="s" s="27">
        <v>37</v>
      </c>
      <c r="L28" t="s" s="27">
        <v>40</v>
      </c>
    </row>
    <row r="29" ht="32.05" customHeight="1">
      <c r="B29" t="s" s="29">
        <v>56</v>
      </c>
      <c r="C29" s="23">
        <v>15</v>
      </c>
      <c r="D29" t="b" s="30">
        <v>0</v>
      </c>
      <c r="E29" t="s" s="29">
        <v>33</v>
      </c>
      <c r="F29" t="s" s="29">
        <v>33</v>
      </c>
      <c r="G29" t="s" s="29">
        <v>42</v>
      </c>
      <c r="H29" t="s" s="29">
        <v>40</v>
      </c>
      <c r="I29" t="s" s="29">
        <v>51</v>
      </c>
      <c r="J29" t="s" s="29">
        <v>40</v>
      </c>
      <c r="K29" t="s" s="29">
        <v>57</v>
      </c>
      <c r="L29" t="s" s="29">
        <v>58</v>
      </c>
    </row>
  </sheetData>
  <mergeCells count="1">
    <mergeCell ref="B1:L1"/>
  </mergeCells>
  <pageMargins left="0.416667" right="0.416667" top="0.25" bottom="0.25" header="0.25" footer="0.25"/>
  <pageSetup firstPageNumber="1" fitToHeight="1" fitToWidth="1" scale="100" useFirstPageNumber="0" orientation="landscape"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G35"/>
  <sheetViews>
    <sheetView workbookViewId="0"/>
  </sheetViews>
  <sheetFormatPr defaultRowHeight="15"/>
  <cols>
    <col min="1" max="1" width="28" customWidth="1"/>
    <col min="2" max="2" width="12" customWidth="1"/>
    <col min="3" max="3" width="62" customWidth="1"/>
    <col min="5" max="5" width="8" customWidth="1"/>
    <col min="6" max="6" width="24" customWidth="1"/>
    <col min="7" max="7" width="24" customWidth="1"/>
  </cols>
  <sheetData>
    <row r="1">
      <c r="A1" t="inlineStr">
        <is>
          <t>Parameter</t>
        </is>
      </c>
      <c r="B1" t="inlineStr">
        <is>
          <t>Value</t>
        </is>
      </c>
      <c r="C1" t="inlineStr">
        <is>
          <t>Description</t>
        </is>
      </c>
      <c r="E1" t="inlineStr">
        <is>
          <t>day</t>
        </is>
      </c>
      <c r="F1" t="inlineStr">
        <is>
          <t>energy_saving_override</t>
        </is>
      </c>
      <c r="G1" t="inlineStr">
        <is>
          <t>Edit 0 or 1 per day</t>
        </is>
      </c>
    </row>
    <row r="2">
      <c r="A2" t="inlineStr">
        <is>
          <t>start_outdoor_c</t>
        </is>
      </c>
      <c r="B2">
        <v>20</v>
      </c>
      <c r="C2" t="inlineStr">
        <is>
          <t>Timeline start outdoor temperature (C)</t>
        </is>
      </c>
      <c r="E2">
        <v>1</v>
      </c>
      <c r="F2">
        <v>0</v>
      </c>
    </row>
    <row r="3">
      <c r="A3" t="inlineStr">
        <is>
          <t>end_outdoor_c</t>
        </is>
      </c>
      <c r="B3">
        <v>-20</v>
      </c>
      <c r="C3" t="inlineStr">
        <is>
          <t>Timeline end outdoor temperature (C)</t>
        </is>
      </c>
      <c r="E3">
        <v>2</v>
      </c>
      <c r="F3">
        <v>0</v>
      </c>
    </row>
    <row r="4">
      <c r="A4" t="inlineStr">
        <is>
          <t>days</t>
        </is>
      </c>
      <c r="B4">
        <v>14</v>
      </c>
      <c r="C4" t="inlineStr">
        <is>
          <t>Number of day steps in simulation</t>
        </is>
      </c>
      <c r="E4">
        <v>3</v>
      </c>
      <c r="F4">
        <v>0</v>
      </c>
    </row>
    <row r="5">
      <c r="A5" t="inlineStr">
        <is>
          <t>step_minutes</t>
        </is>
      </c>
      <c r="B5">
        <v>1440</v>
      </c>
      <c r="C5" t="inlineStr">
        <is>
          <t>Minutes per simulation step</t>
        </is>
      </c>
      <c r="E5">
        <v>4</v>
      </c>
      <c r="F5">
        <v>0</v>
      </c>
    </row>
    <row r="6">
      <c r="A6" t="inlineStr">
        <is>
          <t>setpoint</t>
        </is>
      </c>
      <c r="B6">
        <v>20</v>
      </c>
      <c r="C6" t="inlineStr">
        <is>
          <t>Saving-mode base heatpump setpoint (C)</t>
        </is>
      </c>
      <c r="E6">
        <v>5</v>
      </c>
      <c r="F6">
        <v>0</v>
      </c>
    </row>
    <row r="7">
      <c r="A7" t="inlineStr">
        <is>
          <t>saving_cold_offset</t>
        </is>
      </c>
      <c r="B7">
        <v>1</v>
      </c>
      <c r="C7" t="inlineStr">
        <is>
          <t>Saving-mode cold offset (C)</t>
        </is>
      </c>
      <c r="E7">
        <v>6</v>
      </c>
      <c r="F7">
        <v>0</v>
      </c>
    </row>
    <row r="8">
      <c r="A8" t="inlineStr">
        <is>
          <t>virtual_temperature</t>
        </is>
      </c>
      <c r="B8">
        <v>20</v>
      </c>
      <c r="C8" t="inlineStr">
        <is>
          <t>Saving-mode warm-weather target (C)</t>
        </is>
      </c>
      <c r="E8">
        <v>7</v>
      </c>
      <c r="F8">
        <v>0</v>
      </c>
    </row>
    <row r="9">
      <c r="A9" t="inlineStr">
        <is>
          <t>warm_shutdown_outdoor</t>
        </is>
      </c>
      <c r="B9">
        <v>7</v>
      </c>
      <c r="C9" t="inlineStr">
        <is>
          <t>Saving-mode warm shutdown threshold (C)</t>
        </is>
      </c>
      <c r="E9">
        <v>8</v>
      </c>
      <c r="F9">
        <v>0</v>
      </c>
    </row>
    <row r="10">
      <c r="A10" t="inlineStr">
        <is>
          <t>comfort_target</t>
        </is>
      </c>
      <c r="B10">
        <v>22</v>
      </c>
      <c r="C10" t="inlineStr">
        <is>
          <t>Comfort room target (C)</t>
        </is>
      </c>
      <c r="E10">
        <v>9</v>
      </c>
      <c r="F10">
        <v>0</v>
      </c>
    </row>
    <row r="11">
      <c r="A11" t="inlineStr">
        <is>
          <t>comfort_offset</t>
        </is>
      </c>
      <c r="B11">
        <v>2</v>
      </c>
      <c r="C11" t="inlineStr">
        <is>
          <t>Comfort path heatpump offset (C)</t>
        </is>
      </c>
      <c r="E11">
        <v>10</v>
      </c>
      <c r="F11">
        <v>0</v>
      </c>
    </row>
    <row r="12">
      <c r="A12" t="inlineStr">
        <is>
          <t>storage_target</t>
        </is>
      </c>
      <c r="B12">
        <v>25</v>
      </c>
      <c r="C12" t="inlineStr">
        <is>
          <t>Storage room target (C)</t>
        </is>
      </c>
      <c r="E12">
        <v>11</v>
      </c>
      <c r="F12">
        <v>0</v>
      </c>
    </row>
    <row r="13">
      <c r="A13" t="inlineStr">
        <is>
          <t>storage_offset</t>
        </is>
      </c>
      <c r="B13">
        <v>2</v>
      </c>
      <c r="C13" t="inlineStr">
        <is>
          <t>Storage path heatpump offset (C)</t>
        </is>
      </c>
      <c r="E13">
        <v>12</v>
      </c>
      <c r="F13">
        <v>0</v>
      </c>
    </row>
    <row r="14">
      <c r="A14" t="inlineStr">
        <is>
          <t>maintenance_target</t>
        </is>
      </c>
      <c r="B14">
        <v>20</v>
      </c>
      <c r="C14" t="inlineStr">
        <is>
          <t>Maintenance target (C)</t>
        </is>
      </c>
      <c r="E14">
        <v>13</v>
      </c>
      <c r="F14">
        <v>0</v>
      </c>
    </row>
    <row r="15">
      <c r="A15" t="inlineStr">
        <is>
          <t>comfort_margin</t>
        </is>
      </c>
      <c r="B15">
        <v>0.2</v>
      </c>
      <c r="C15" t="inlineStr">
        <is>
          <t>Comfort satisfied margin (C)</t>
        </is>
      </c>
      <c r="E15">
        <v>14</v>
      </c>
      <c r="F15">
        <v>0</v>
      </c>
    </row>
    <row r="16">
      <c r="A16" t="inlineStr">
        <is>
          <t>cold_threshold</t>
        </is>
      </c>
      <c r="B16">
        <v>0</v>
      </c>
      <c r="C16" t="inlineStr">
        <is>
          <t>Cold boost threshold (C)</t>
        </is>
      </c>
    </row>
    <row r="17">
      <c r="A17" t="inlineStr">
        <is>
          <t>max_boost</t>
        </is>
      </c>
      <c r="B17">
        <v>3</v>
      </c>
      <c r="C17" t="inlineStr">
        <is>
          <t>Maximum cold boost pull-down (C)</t>
        </is>
      </c>
    </row>
    <row r="18">
      <c r="A18" t="inlineStr">
        <is>
          <t>boost_slope</t>
        </is>
      </c>
      <c r="B18">
        <v>5</v>
      </c>
      <c r="C18" t="inlineStr">
        <is>
          <t>Outdoor degrees per +1C pull-down</t>
        </is>
      </c>
    </row>
    <row r="19">
      <c r="A19" t="inlineStr">
        <is>
          <t>control_min</t>
        </is>
      </c>
      <c r="B19">
        <v>10</v>
      </c>
      <c r="C19" t="inlineStr">
        <is>
          <t>Final clamp minimum control value (C)</t>
        </is>
      </c>
    </row>
    <row r="20">
      <c r="A20" t="inlineStr">
        <is>
          <t>control_max</t>
        </is>
      </c>
      <c r="B20">
        <v>26</v>
      </c>
      <c r="C20" t="inlineStr">
        <is>
          <t>Final clamp maximum control value (C)</t>
        </is>
      </c>
    </row>
    <row r="21">
      <c r="A21" t="inlineStr">
        <is>
          <t>helper_write_delta</t>
        </is>
      </c>
      <c r="B21">
        <v>0.05</v>
      </c>
      <c r="C21" t="inlineStr">
        <is>
          <t>Minimum helper-write delta (C)</t>
        </is>
      </c>
    </row>
    <row r="22">
      <c r="A22" t="inlineStr">
        <is>
          <t>control_write_delta</t>
        </is>
      </c>
      <c r="B22">
        <v>0.2</v>
      </c>
      <c r="C22" t="inlineStr">
        <is>
          <t>Minimum control-write delta (C)</t>
        </is>
      </c>
    </row>
    <row r="23">
      <c r="A23" t="inlineStr">
        <is>
          <t>fallback_trigger_delta</t>
        </is>
      </c>
      <c r="B23">
        <v>0.5</v>
      </c>
      <c r="C23" t="inlineStr">
        <is>
          <t>Fallback trigger delta below comfort target (C)</t>
        </is>
      </c>
    </row>
    <row r="24">
      <c r="A24" t="inlineStr">
        <is>
          <t>release_delta</t>
        </is>
      </c>
      <c r="B24">
        <v>0.1</v>
      </c>
      <c r="C24" t="inlineStr">
        <is>
          <t>Fallback release delta below comfort target (C)</t>
        </is>
      </c>
    </row>
    <row r="25">
      <c r="A25" t="inlineStr">
        <is>
          <t>fallback_minutes</t>
        </is>
      </c>
      <c r="B25">
        <v>30</v>
      </c>
      <c r="C25" t="inlineStr">
        <is>
          <t>Fallback trigger duration (minutes)</t>
        </is>
      </c>
    </row>
    <row r="26">
      <c r="A26" t="inlineStr">
        <is>
          <t>fallback_cooldown_minutes</t>
        </is>
      </c>
      <c r="B26">
        <v>60</v>
      </c>
      <c r="C26" t="inlineStr">
        <is>
          <t>Fallback cooldown for re-arm (minutes)</t>
        </is>
      </c>
    </row>
    <row r="27">
      <c r="A27" t="inlineStr">
        <is>
          <t>room_outdoor_k</t>
        </is>
      </c>
      <c r="B27">
        <v>0.18</v>
      </c>
      <c r="C27" t="inlineStr">
        <is>
          <t>Room coupling to outdoor per day-step</t>
        </is>
      </c>
    </row>
    <row r="28">
      <c r="A28" t="inlineStr">
        <is>
          <t>room_heatpump_k</t>
        </is>
      </c>
      <c r="B28">
        <v>0.28</v>
      </c>
      <c r="C28" t="inlineStr">
        <is>
          <t>Room coupling to heatpump signal per day-step</t>
        </is>
      </c>
    </row>
    <row r="29">
      <c r="A29" t="inlineStr">
        <is>
          <t>storage_outdoor_k</t>
        </is>
      </c>
      <c r="B29">
        <v>0.1</v>
      </c>
      <c r="C29" t="inlineStr">
        <is>
          <t>Storage coupling to outdoor per day-step</t>
        </is>
      </c>
    </row>
    <row r="30">
      <c r="A30" t="inlineStr">
        <is>
          <t>storage_heatpump_k</t>
        </is>
      </c>
      <c r="B30">
        <v>0.2</v>
      </c>
      <c r="C30" t="inlineStr">
        <is>
          <t>Storage coupling to heatpump signal per day-step</t>
        </is>
      </c>
    </row>
    <row r="31">
      <c r="A31" t="inlineStr">
        <is>
          <t>room1_init</t>
        </is>
      </c>
      <c r="B31">
        <v>22</v>
      </c>
      <c r="C31" t="inlineStr">
        <is>
          <t>Initial room1 temperature (C)</t>
        </is>
      </c>
    </row>
    <row r="32">
      <c r="A32" t="inlineStr">
        <is>
          <t>room2_init</t>
        </is>
      </c>
      <c r="B32">
        <v>22</v>
      </c>
      <c r="C32" t="inlineStr">
        <is>
          <t>Initial room2 temperature (C)</t>
        </is>
      </c>
    </row>
    <row r="33">
      <c r="A33" t="inlineStr">
        <is>
          <t>storage_init</t>
        </is>
      </c>
      <c r="B33">
        <v>24</v>
      </c>
      <c r="C33" t="inlineStr">
        <is>
          <t>Initial storage temperature (C)</t>
        </is>
      </c>
    </row>
    <row r="34">
      <c r="A34" t="inlineStr">
        <is>
          <t>control_init</t>
        </is>
      </c>
      <c r="B34">
        <v>20</v>
      </c>
      <c r="C34" t="inlineStr">
        <is>
          <t>Initial heatpump control value (C)</t>
        </is>
      </c>
    </row>
    <row r="35">
      <c r="A35" t="inlineStr">
        <is>
          <t>energy_saving_default</t>
        </is>
      </c>
      <c r="B35">
        <v>0</v>
      </c>
      <c r="C35" t="inlineStr">
        <is>
          <t>Default policy state when no override exists (0/1)</t>
        </is>
      </c>
    </row>
  </sheetData>
  <pageMargins left="0.7" right="0.7" top="0.75" bottom="0.75" header="0.3" footer="0.3"/>
</worksheet>
</file>

<file path=xl/worksheets/sheet6.xml><?xml version="1.0" encoding="utf-8"?>
<worksheet xmlns:r="http://schemas.openxmlformats.org/officeDocument/2006/relationships" xmlns="http://schemas.openxmlformats.org/spreadsheetml/2006/main">
  <dimension ref="A1:Y15"/>
  <sheetViews>
    <sheetView workbookViewId="0"/>
  </sheetViews>
  <sheetFormatPr defaultRowHeight="15"/>
  <cols>
    <col min="1" max="1" width="8" customWidth="1"/>
    <col min="2" max="25" width="13" customWidth="1"/>
  </cols>
  <sheetData>
    <row r="1">
      <c r="A1" t="inlineStr">
        <is>
          <t>day</t>
        </is>
      </c>
      <c r="B1" t="inlineStr">
        <is>
          <t>outdoor_c</t>
        </is>
      </c>
      <c r="C1" t="inlineStr">
        <is>
          <t>energy_saving</t>
        </is>
      </c>
      <c r="D1" t="inlineStr">
        <is>
          <t>room1_c</t>
        </is>
      </c>
      <c r="E1" t="inlineStr">
        <is>
          <t>room2_c</t>
        </is>
      </c>
      <c r="F1" t="inlineStr">
        <is>
          <t>storage_c</t>
        </is>
      </c>
      <c r="G1" t="inlineStr">
        <is>
          <t>comfort_min</t>
        </is>
      </c>
      <c r="H1" t="inlineStr">
        <is>
          <t>boost_raw</t>
        </is>
      </c>
      <c r="I1" t="inlineStr">
        <is>
          <t>boost</t>
        </is>
      </c>
      <c r="J1" t="inlineStr">
        <is>
          <t>comfort_satisfied</t>
        </is>
      </c>
      <c r="K1" t="inlineStr">
        <is>
          <t>storage_needs_heat</t>
        </is>
      </c>
      <c r="L1" t="inlineStr">
        <is>
          <t>comfort_path</t>
        </is>
      </c>
      <c r="M1" t="inlineStr">
        <is>
          <t>storage_path</t>
        </is>
      </c>
      <c r="N1" t="inlineStr">
        <is>
          <t>target_comfort</t>
        </is>
      </c>
      <c r="O1" t="inlineStr">
        <is>
          <t>target_saving</t>
        </is>
      </c>
      <c r="P1" t="inlineStr">
        <is>
          <t>below_trigger</t>
        </is>
      </c>
      <c r="Q1" t="inlineStr">
        <is>
          <t>below_counter</t>
        </is>
      </c>
      <c r="R1" t="inlineStr">
        <is>
          <t>cooldown_counter</t>
        </is>
      </c>
      <c r="S1" t="inlineStr">
        <is>
          <t>fallback_active</t>
        </is>
      </c>
      <c r="T1" t="inlineStr">
        <is>
          <t>selected_source</t>
        </is>
      </c>
      <c r="U1" t="inlineStr">
        <is>
          <t>target_final</t>
        </is>
      </c>
      <c r="V1" t="inlineStr">
        <is>
          <t>helper_write</t>
        </is>
      </c>
      <c r="W1" t="inlineStr">
        <is>
          <t>control_write</t>
        </is>
      </c>
      <c r="X1" t="inlineStr">
        <is>
          <t>heatpump_signal</t>
        </is>
      </c>
      <c r="Y1" t="inlineStr">
        <is>
          <t>comfort_deficit</t>
        </is>
      </c>
    </row>
    <row r="2">
      <c r="A2">
        <v>1</v>
      </c>
      <c r="B2">
        <f>Inputs!$B$2 + (A2-1)*(Inputs!$B$3-Inputs!$B$2)/MAX(Inputs!$B$4-1,1)</f>
      </c>
      <c r="C2">
        <f>IFERROR(INDEX(Inputs!$F$2:$F$200,MATCH(A2,Inputs!$E$2:$E$200,0)),Inputs!$B$35)</f>
      </c>
      <c r="D2">
        <f>Inputs!$B$31</f>
      </c>
      <c r="E2">
        <f>Inputs!$B$32</f>
      </c>
      <c r="F2">
        <f>Inputs!$B$33</f>
      </c>
      <c r="G2">
        <f>MIN(D2,E2)</f>
      </c>
      <c r="H2">
        <f>IF(B2&lt;Inputs!$B$16,(Inputs!$B$16-B2)/Inputs!$B$18,0)</f>
      </c>
      <c r="I2">
        <f>MIN(Inputs!$B$17,MAX(0,H2))</f>
      </c>
      <c r="J2">
        <f>IF(AND(D2&gt;=Inputs!$B$10-Inputs!$B$15,E2&gt;=Inputs!$B$10-Inputs!$B$15),1,0)</f>
      </c>
      <c r="K2">
        <f>IF(F2&lt;Inputs!$B$12-Inputs!$B$15,1,0)</f>
      </c>
      <c r="L2">
        <f>(Inputs!$B$10-Inputs!$B$11)-I2</f>
      </c>
      <c r="M2">
        <f>(Inputs!$B$12-Inputs!$B$13)-I2</f>
      </c>
      <c r="N2">
        <f>MIN(Inputs!$B$20,MAX(Inputs!$B$19,IF(J2=0,L2,IF(K2=1,MAX(M2,L2),Inputs!$B$14))))</f>
      </c>
      <c r="O2">
        <f>MIN(Inputs!$B$20,MAX(Inputs!$B$19,IF(B2&gt;=Inputs!$B$9,Inputs!$B$8,Inputs!$B$6-Inputs!$B$7)))</f>
      </c>
      <c r="P2">
        <f>IF(AND(C2=0,G2&lt;Inputs!$B$10-Inputs!$B$23),1,0)</f>
      </c>
      <c r="Q2">
        <f>IF(P2=1,1,0)</f>
      </c>
      <c r="R2">
        <f>CEILING(Inputs!$B$26/Inputs!$B$5,1)</f>
      </c>
      <c r="S2">
        <f>IF(C2=1,0,IF(AND(P2=1,Q2&gt;=CEILING(Inputs!$B$25/Inputs!$B$5,1)),1,0))</f>
      </c>
      <c r="T2" t="str">
        <f>IF(C2=1,"saving",IF(S2=1,"fallback_min","comfort"))</f>
      </c>
      <c r="U2">
        <f>MIN(Inputs!$B$20,MAX(Inputs!$B$19,IF(T2="saving",O2,IF(T2="fallback_min",Inputs!$B$19,N2))))</f>
      </c>
      <c r="V2">
        <f>IF(ABS(U2-Inputs!$B$34)&gt;=Inputs!$B$21,1,0)</f>
      </c>
      <c r="W2">
        <f>IF(ABS(U2-Inputs!$B$34)&gt;=Inputs!$B$22,1,0)</f>
      </c>
      <c r="X2">
        <f>IF(W2=1,U2,Inputs!$B$34)</f>
      </c>
      <c r="Y2">
        <f>Inputs!$B$10-G2</f>
      </c>
    </row>
    <row r="3">
      <c r="A3">
        <v>2</v>
      </c>
      <c r="B3">
        <f>Inputs!$B$2 + (A3-1)*(Inputs!$B$3-Inputs!$B$2)/MAX(Inputs!$B$4-1,1)</f>
      </c>
      <c r="C3">
        <f>IFERROR(INDEX(Inputs!$F$2:$F$200,MATCH(A3,Inputs!$E$2:$E$200,0)),Inputs!$B$35)</f>
      </c>
      <c r="D3">
        <f>D2 + Inputs!$B$27*(B3-D2) + Inputs!$B$28*(X2-D2)</f>
      </c>
      <c r="E3">
        <f>E2 + Inputs!$B$27*(B3-E2) + Inputs!$B$28*(X2-E2)</f>
      </c>
      <c r="F3">
        <f>F2 + Inputs!$B$29*(B3-F2) + Inputs!$B$30*(X2-F2)</f>
      </c>
      <c r="G3">
        <f>MIN(D3,E3)</f>
      </c>
      <c r="H3">
        <f>IF(B3&lt;Inputs!$B$16,(Inputs!$B$16-B3)/Inputs!$B$18,0)</f>
      </c>
      <c r="I3">
        <f>MIN(Inputs!$B$17,MAX(0,H3))</f>
      </c>
      <c r="J3">
        <f>IF(AND(D3&gt;=Inputs!$B$10-Inputs!$B$15,E3&gt;=Inputs!$B$10-Inputs!$B$15),1,0)</f>
      </c>
      <c r="K3">
        <f>IF(F3&lt;Inputs!$B$12-Inputs!$B$15,1,0)</f>
      </c>
      <c r="L3">
        <f>(Inputs!$B$10-Inputs!$B$11)-I3</f>
      </c>
      <c r="M3">
        <f>(Inputs!$B$12-Inputs!$B$13)-I3</f>
      </c>
      <c r="N3">
        <f>MIN(Inputs!$B$20,MAX(Inputs!$B$19,IF(J3=0,L3,IF(K3=1,MAX(M3,L3),Inputs!$B$14))))</f>
      </c>
      <c r="O3">
        <f>MIN(Inputs!$B$20,MAX(Inputs!$B$19,IF(B3&gt;=Inputs!$B$9,Inputs!$B$8,Inputs!$B$6-Inputs!$B$7)))</f>
      </c>
      <c r="P3">
        <f>IF(AND(C3=0,G3&lt;Inputs!$B$10-Inputs!$B$23),1,0)</f>
      </c>
      <c r="Q3">
        <f>IF(P3=1,Q2+1,0)</f>
      </c>
      <c r="R3">
        <f>IF(AND(S2=0,S3=1),0,R2+1)</f>
      </c>
      <c r="S3">
        <f>IF(C3=1,0,IF(S2=1,IF(G3&gt;=Inputs!$B$10-Inputs!$B$24,0,1),IF(AND(P3=1,Q3&gt;=CEILING(Inputs!$B$25/Inputs!$B$5,1),R2&gt;=CEILING(Inputs!$B$26/Inputs!$B$5,1)),1,0)))</f>
      </c>
      <c r="T3" t="str">
        <f>IF(C3=1,"saving",IF(S3=1,"fallback_min","comfort"))</f>
      </c>
      <c r="U3">
        <f>MIN(Inputs!$B$20,MAX(Inputs!$B$19,IF(T3="saving",O3,IF(T3="fallback_min",Inputs!$B$19,N3))))</f>
      </c>
      <c r="V3">
        <f>IF(ABS(U3-U2)&gt;=Inputs!$B$21,1,0)</f>
      </c>
      <c r="W3">
        <f>IF(ABS(U3-X2)&gt;=Inputs!$B$22,1,0)</f>
      </c>
      <c r="X3">
        <f>IF(W3=1,U3,X2)</f>
      </c>
      <c r="Y3">
        <f>Inputs!$B$10-G3</f>
      </c>
    </row>
    <row r="4">
      <c r="A4">
        <v>3</v>
      </c>
      <c r="B4">
        <f>Inputs!$B$2 + (A4-1)*(Inputs!$B$3-Inputs!$B$2)/MAX(Inputs!$B$4-1,1)</f>
      </c>
      <c r="C4">
        <f>IFERROR(INDEX(Inputs!$F$2:$F$200,MATCH(A4,Inputs!$E$2:$E$200,0)),Inputs!$B$35)</f>
      </c>
      <c r="D4">
        <f>D3 + Inputs!$B$27*(B4-D3) + Inputs!$B$28*(X3-D3)</f>
      </c>
      <c r="E4">
        <f>E3 + Inputs!$B$27*(B4-E3) + Inputs!$B$28*(X3-E3)</f>
      </c>
      <c r="F4">
        <f>F3 + Inputs!$B$29*(B4-F3) + Inputs!$B$30*(X3-F3)</f>
      </c>
      <c r="G4">
        <f>MIN(D4,E4)</f>
      </c>
      <c r="H4">
        <f>IF(B4&lt;Inputs!$B$16,(Inputs!$B$16-B4)/Inputs!$B$18,0)</f>
      </c>
      <c r="I4">
        <f>MIN(Inputs!$B$17,MAX(0,H4))</f>
      </c>
      <c r="J4">
        <f>IF(AND(D4&gt;=Inputs!$B$10-Inputs!$B$15,E4&gt;=Inputs!$B$10-Inputs!$B$15),1,0)</f>
      </c>
      <c r="K4">
        <f>IF(F4&lt;Inputs!$B$12-Inputs!$B$15,1,0)</f>
      </c>
      <c r="L4">
        <f>(Inputs!$B$10-Inputs!$B$11)-I4</f>
      </c>
      <c r="M4">
        <f>(Inputs!$B$12-Inputs!$B$13)-I4</f>
      </c>
      <c r="N4">
        <f>MIN(Inputs!$B$20,MAX(Inputs!$B$19,IF(J4=0,L4,IF(K4=1,MAX(M4,L4),Inputs!$B$14))))</f>
      </c>
      <c r="O4">
        <f>MIN(Inputs!$B$20,MAX(Inputs!$B$19,IF(B4&gt;=Inputs!$B$9,Inputs!$B$8,Inputs!$B$6-Inputs!$B$7)))</f>
      </c>
      <c r="P4">
        <f>IF(AND(C4=0,G4&lt;Inputs!$B$10-Inputs!$B$23),1,0)</f>
      </c>
      <c r="Q4">
        <f>IF(P4=1,Q3+1,0)</f>
      </c>
      <c r="R4">
        <f>IF(AND(S3=0,S4=1),0,R3+1)</f>
      </c>
      <c r="S4">
        <f>IF(C4=1,0,IF(S3=1,IF(G4&gt;=Inputs!$B$10-Inputs!$B$24,0,1),IF(AND(P4=1,Q4&gt;=CEILING(Inputs!$B$25/Inputs!$B$5,1),R3&gt;=CEILING(Inputs!$B$26/Inputs!$B$5,1)),1,0)))</f>
      </c>
      <c r="T4" t="str">
        <f>IF(C4=1,"saving",IF(S4=1,"fallback_min","comfort"))</f>
      </c>
      <c r="U4">
        <f>MIN(Inputs!$B$20,MAX(Inputs!$B$19,IF(T4="saving",O4,IF(T4="fallback_min",Inputs!$B$19,N4))))</f>
      </c>
      <c r="V4">
        <f>IF(ABS(U4-U3)&gt;=Inputs!$B$21,1,0)</f>
      </c>
      <c r="W4">
        <f>IF(ABS(U4-X3)&gt;=Inputs!$B$22,1,0)</f>
      </c>
      <c r="X4">
        <f>IF(W4=1,U4,X3)</f>
      </c>
      <c r="Y4">
        <f>Inputs!$B$10-G4</f>
      </c>
    </row>
    <row r="5">
      <c r="A5">
        <v>4</v>
      </c>
      <c r="B5">
        <f>Inputs!$B$2 + (A5-1)*(Inputs!$B$3-Inputs!$B$2)/MAX(Inputs!$B$4-1,1)</f>
      </c>
      <c r="C5">
        <f>IFERROR(INDEX(Inputs!$F$2:$F$200,MATCH(A5,Inputs!$E$2:$E$200,0)),Inputs!$B$35)</f>
      </c>
      <c r="D5">
        <f>D4 + Inputs!$B$27*(B5-D4) + Inputs!$B$28*(X4-D4)</f>
      </c>
      <c r="E5">
        <f>E4 + Inputs!$B$27*(B5-E4) + Inputs!$B$28*(X4-E4)</f>
      </c>
      <c r="F5">
        <f>F4 + Inputs!$B$29*(B5-F4) + Inputs!$B$30*(X4-F4)</f>
      </c>
      <c r="G5">
        <f>MIN(D5,E5)</f>
      </c>
      <c r="H5">
        <f>IF(B5&lt;Inputs!$B$16,(Inputs!$B$16-B5)/Inputs!$B$18,0)</f>
      </c>
      <c r="I5">
        <f>MIN(Inputs!$B$17,MAX(0,H5))</f>
      </c>
      <c r="J5">
        <f>IF(AND(D5&gt;=Inputs!$B$10-Inputs!$B$15,E5&gt;=Inputs!$B$10-Inputs!$B$15),1,0)</f>
      </c>
      <c r="K5">
        <f>IF(F5&lt;Inputs!$B$12-Inputs!$B$15,1,0)</f>
      </c>
      <c r="L5">
        <f>(Inputs!$B$10-Inputs!$B$11)-I5</f>
      </c>
      <c r="M5">
        <f>(Inputs!$B$12-Inputs!$B$13)-I5</f>
      </c>
      <c r="N5">
        <f>MIN(Inputs!$B$20,MAX(Inputs!$B$19,IF(J5=0,L5,IF(K5=1,MAX(M5,L5),Inputs!$B$14))))</f>
      </c>
      <c r="O5">
        <f>MIN(Inputs!$B$20,MAX(Inputs!$B$19,IF(B5&gt;=Inputs!$B$9,Inputs!$B$8,Inputs!$B$6-Inputs!$B$7)))</f>
      </c>
      <c r="P5">
        <f>IF(AND(C5=0,G5&lt;Inputs!$B$10-Inputs!$B$23),1,0)</f>
      </c>
      <c r="Q5">
        <f>IF(P5=1,Q4+1,0)</f>
      </c>
      <c r="R5">
        <f>IF(AND(S4=0,S5=1),0,R4+1)</f>
      </c>
      <c r="S5">
        <f>IF(C5=1,0,IF(S4=1,IF(G5&gt;=Inputs!$B$10-Inputs!$B$24,0,1),IF(AND(P5=1,Q5&gt;=CEILING(Inputs!$B$25/Inputs!$B$5,1),R4&gt;=CEILING(Inputs!$B$26/Inputs!$B$5,1)),1,0)))</f>
      </c>
      <c r="T5" t="str">
        <f>IF(C5=1,"saving",IF(S5=1,"fallback_min","comfort"))</f>
      </c>
      <c r="U5">
        <f>MIN(Inputs!$B$20,MAX(Inputs!$B$19,IF(T5="saving",O5,IF(T5="fallback_min",Inputs!$B$19,N5))))</f>
      </c>
      <c r="V5">
        <f>IF(ABS(U5-U4)&gt;=Inputs!$B$21,1,0)</f>
      </c>
      <c r="W5">
        <f>IF(ABS(U5-X4)&gt;=Inputs!$B$22,1,0)</f>
      </c>
      <c r="X5">
        <f>IF(W5=1,U5,X4)</f>
      </c>
      <c r="Y5">
        <f>Inputs!$B$10-G5</f>
      </c>
    </row>
    <row r="6">
      <c r="A6">
        <v>5</v>
      </c>
      <c r="B6">
        <f>Inputs!$B$2 + (A6-1)*(Inputs!$B$3-Inputs!$B$2)/MAX(Inputs!$B$4-1,1)</f>
      </c>
      <c r="C6">
        <f>IFERROR(INDEX(Inputs!$F$2:$F$200,MATCH(A6,Inputs!$E$2:$E$200,0)),Inputs!$B$35)</f>
      </c>
      <c r="D6">
        <f>D5 + Inputs!$B$27*(B6-D5) + Inputs!$B$28*(X5-D5)</f>
      </c>
      <c r="E6">
        <f>E5 + Inputs!$B$27*(B6-E5) + Inputs!$B$28*(X5-E5)</f>
      </c>
      <c r="F6">
        <f>F5 + Inputs!$B$29*(B6-F5) + Inputs!$B$30*(X5-F5)</f>
      </c>
      <c r="G6">
        <f>MIN(D6,E6)</f>
      </c>
      <c r="H6">
        <f>IF(B6&lt;Inputs!$B$16,(Inputs!$B$16-B6)/Inputs!$B$18,0)</f>
      </c>
      <c r="I6">
        <f>MIN(Inputs!$B$17,MAX(0,H6))</f>
      </c>
      <c r="J6">
        <f>IF(AND(D6&gt;=Inputs!$B$10-Inputs!$B$15,E6&gt;=Inputs!$B$10-Inputs!$B$15),1,0)</f>
      </c>
      <c r="K6">
        <f>IF(F6&lt;Inputs!$B$12-Inputs!$B$15,1,0)</f>
      </c>
      <c r="L6">
        <f>(Inputs!$B$10-Inputs!$B$11)-I6</f>
      </c>
      <c r="M6">
        <f>(Inputs!$B$12-Inputs!$B$13)-I6</f>
      </c>
      <c r="N6">
        <f>MIN(Inputs!$B$20,MAX(Inputs!$B$19,IF(J6=0,L6,IF(K6=1,MAX(M6,L6),Inputs!$B$14))))</f>
      </c>
      <c r="O6">
        <f>MIN(Inputs!$B$20,MAX(Inputs!$B$19,IF(B6&gt;=Inputs!$B$9,Inputs!$B$8,Inputs!$B$6-Inputs!$B$7)))</f>
      </c>
      <c r="P6">
        <f>IF(AND(C6=0,G6&lt;Inputs!$B$10-Inputs!$B$23),1,0)</f>
      </c>
      <c r="Q6">
        <f>IF(P6=1,Q5+1,0)</f>
      </c>
      <c r="R6">
        <f>IF(AND(S5=0,S6=1),0,R5+1)</f>
      </c>
      <c r="S6">
        <f>IF(C6=1,0,IF(S5=1,IF(G6&gt;=Inputs!$B$10-Inputs!$B$24,0,1),IF(AND(P6=1,Q6&gt;=CEILING(Inputs!$B$25/Inputs!$B$5,1),R5&gt;=CEILING(Inputs!$B$26/Inputs!$B$5,1)),1,0)))</f>
      </c>
      <c r="T6" t="str">
        <f>IF(C6=1,"saving",IF(S6=1,"fallback_min","comfort"))</f>
      </c>
      <c r="U6">
        <f>MIN(Inputs!$B$20,MAX(Inputs!$B$19,IF(T6="saving",O6,IF(T6="fallback_min",Inputs!$B$19,N6))))</f>
      </c>
      <c r="V6">
        <f>IF(ABS(U6-U5)&gt;=Inputs!$B$21,1,0)</f>
      </c>
      <c r="W6">
        <f>IF(ABS(U6-X5)&gt;=Inputs!$B$22,1,0)</f>
      </c>
      <c r="X6">
        <f>IF(W6=1,U6,X5)</f>
      </c>
      <c r="Y6">
        <f>Inputs!$B$10-G6</f>
      </c>
    </row>
    <row r="7">
      <c r="A7">
        <v>6</v>
      </c>
      <c r="B7">
        <f>Inputs!$B$2 + (A7-1)*(Inputs!$B$3-Inputs!$B$2)/MAX(Inputs!$B$4-1,1)</f>
      </c>
      <c r="C7">
        <f>IFERROR(INDEX(Inputs!$F$2:$F$200,MATCH(A7,Inputs!$E$2:$E$200,0)),Inputs!$B$35)</f>
      </c>
      <c r="D7">
        <f>D6 + Inputs!$B$27*(B7-D6) + Inputs!$B$28*(X6-D6)</f>
      </c>
      <c r="E7">
        <f>E6 + Inputs!$B$27*(B7-E6) + Inputs!$B$28*(X6-E6)</f>
      </c>
      <c r="F7">
        <f>F6 + Inputs!$B$29*(B7-F6) + Inputs!$B$30*(X6-F6)</f>
      </c>
      <c r="G7">
        <f>MIN(D7,E7)</f>
      </c>
      <c r="H7">
        <f>IF(B7&lt;Inputs!$B$16,(Inputs!$B$16-B7)/Inputs!$B$18,0)</f>
      </c>
      <c r="I7">
        <f>MIN(Inputs!$B$17,MAX(0,H7))</f>
      </c>
      <c r="J7">
        <f>IF(AND(D7&gt;=Inputs!$B$10-Inputs!$B$15,E7&gt;=Inputs!$B$10-Inputs!$B$15),1,0)</f>
      </c>
      <c r="K7">
        <f>IF(F7&lt;Inputs!$B$12-Inputs!$B$15,1,0)</f>
      </c>
      <c r="L7">
        <f>(Inputs!$B$10-Inputs!$B$11)-I7</f>
      </c>
      <c r="M7">
        <f>(Inputs!$B$12-Inputs!$B$13)-I7</f>
      </c>
      <c r="N7">
        <f>MIN(Inputs!$B$20,MAX(Inputs!$B$19,IF(J7=0,L7,IF(K7=1,MAX(M7,L7),Inputs!$B$14))))</f>
      </c>
      <c r="O7">
        <f>MIN(Inputs!$B$20,MAX(Inputs!$B$19,IF(B7&gt;=Inputs!$B$9,Inputs!$B$8,Inputs!$B$6-Inputs!$B$7)))</f>
      </c>
      <c r="P7">
        <f>IF(AND(C7=0,G7&lt;Inputs!$B$10-Inputs!$B$23),1,0)</f>
      </c>
      <c r="Q7">
        <f>IF(P7=1,Q6+1,0)</f>
      </c>
      <c r="R7">
        <f>IF(AND(S6=0,S7=1),0,R6+1)</f>
      </c>
      <c r="S7">
        <f>IF(C7=1,0,IF(S6=1,IF(G7&gt;=Inputs!$B$10-Inputs!$B$24,0,1),IF(AND(P7=1,Q7&gt;=CEILING(Inputs!$B$25/Inputs!$B$5,1),R6&gt;=CEILING(Inputs!$B$26/Inputs!$B$5,1)),1,0)))</f>
      </c>
      <c r="T7" t="str">
        <f>IF(C7=1,"saving",IF(S7=1,"fallback_min","comfort"))</f>
      </c>
      <c r="U7">
        <f>MIN(Inputs!$B$20,MAX(Inputs!$B$19,IF(T7="saving",O7,IF(T7="fallback_min",Inputs!$B$19,N7))))</f>
      </c>
      <c r="V7">
        <f>IF(ABS(U7-U6)&gt;=Inputs!$B$21,1,0)</f>
      </c>
      <c r="W7">
        <f>IF(ABS(U7-X6)&gt;=Inputs!$B$22,1,0)</f>
      </c>
      <c r="X7">
        <f>IF(W7=1,U7,X6)</f>
      </c>
      <c r="Y7">
        <f>Inputs!$B$10-G7</f>
      </c>
    </row>
    <row r="8">
      <c r="A8">
        <v>7</v>
      </c>
      <c r="B8">
        <f>Inputs!$B$2 + (A8-1)*(Inputs!$B$3-Inputs!$B$2)/MAX(Inputs!$B$4-1,1)</f>
      </c>
      <c r="C8">
        <f>IFERROR(INDEX(Inputs!$F$2:$F$200,MATCH(A8,Inputs!$E$2:$E$200,0)),Inputs!$B$35)</f>
      </c>
      <c r="D8">
        <f>D7 + Inputs!$B$27*(B8-D7) + Inputs!$B$28*(X7-D7)</f>
      </c>
      <c r="E8">
        <f>E7 + Inputs!$B$27*(B8-E7) + Inputs!$B$28*(X7-E7)</f>
      </c>
      <c r="F8">
        <f>F7 + Inputs!$B$29*(B8-F7) + Inputs!$B$30*(X7-F7)</f>
      </c>
      <c r="G8">
        <f>MIN(D8,E8)</f>
      </c>
      <c r="H8">
        <f>IF(B8&lt;Inputs!$B$16,(Inputs!$B$16-B8)/Inputs!$B$18,0)</f>
      </c>
      <c r="I8">
        <f>MIN(Inputs!$B$17,MAX(0,H8))</f>
      </c>
      <c r="J8">
        <f>IF(AND(D8&gt;=Inputs!$B$10-Inputs!$B$15,E8&gt;=Inputs!$B$10-Inputs!$B$15),1,0)</f>
      </c>
      <c r="K8">
        <f>IF(F8&lt;Inputs!$B$12-Inputs!$B$15,1,0)</f>
      </c>
      <c r="L8">
        <f>(Inputs!$B$10-Inputs!$B$11)-I8</f>
      </c>
      <c r="M8">
        <f>(Inputs!$B$12-Inputs!$B$13)-I8</f>
      </c>
      <c r="N8">
        <f>MIN(Inputs!$B$20,MAX(Inputs!$B$19,IF(J8=0,L8,IF(K8=1,MAX(M8,L8),Inputs!$B$14))))</f>
      </c>
      <c r="O8">
        <f>MIN(Inputs!$B$20,MAX(Inputs!$B$19,IF(B8&gt;=Inputs!$B$9,Inputs!$B$8,Inputs!$B$6-Inputs!$B$7)))</f>
      </c>
      <c r="P8">
        <f>IF(AND(C8=0,G8&lt;Inputs!$B$10-Inputs!$B$23),1,0)</f>
      </c>
      <c r="Q8">
        <f>IF(P8=1,Q7+1,0)</f>
      </c>
      <c r="R8">
        <f>IF(AND(S7=0,S8=1),0,R7+1)</f>
      </c>
      <c r="S8">
        <f>IF(C8=1,0,IF(S7=1,IF(G8&gt;=Inputs!$B$10-Inputs!$B$24,0,1),IF(AND(P8=1,Q8&gt;=CEILING(Inputs!$B$25/Inputs!$B$5,1),R7&gt;=CEILING(Inputs!$B$26/Inputs!$B$5,1)),1,0)))</f>
      </c>
      <c r="T8" t="str">
        <f>IF(C8=1,"saving",IF(S8=1,"fallback_min","comfort"))</f>
      </c>
      <c r="U8">
        <f>MIN(Inputs!$B$20,MAX(Inputs!$B$19,IF(T8="saving",O8,IF(T8="fallback_min",Inputs!$B$19,N8))))</f>
      </c>
      <c r="V8">
        <f>IF(ABS(U8-U7)&gt;=Inputs!$B$21,1,0)</f>
      </c>
      <c r="W8">
        <f>IF(ABS(U8-X7)&gt;=Inputs!$B$22,1,0)</f>
      </c>
      <c r="X8">
        <f>IF(W8=1,U8,X7)</f>
      </c>
      <c r="Y8">
        <f>Inputs!$B$10-G8</f>
      </c>
    </row>
    <row r="9">
      <c r="A9">
        <v>8</v>
      </c>
      <c r="B9">
        <f>Inputs!$B$2 + (A9-1)*(Inputs!$B$3-Inputs!$B$2)/MAX(Inputs!$B$4-1,1)</f>
      </c>
      <c r="C9">
        <f>IFERROR(INDEX(Inputs!$F$2:$F$200,MATCH(A9,Inputs!$E$2:$E$200,0)),Inputs!$B$35)</f>
      </c>
      <c r="D9">
        <f>D8 + Inputs!$B$27*(B9-D8) + Inputs!$B$28*(X8-D8)</f>
      </c>
      <c r="E9">
        <f>E8 + Inputs!$B$27*(B9-E8) + Inputs!$B$28*(X8-E8)</f>
      </c>
      <c r="F9">
        <f>F8 + Inputs!$B$29*(B9-F8) + Inputs!$B$30*(X8-F8)</f>
      </c>
      <c r="G9">
        <f>MIN(D9,E9)</f>
      </c>
      <c r="H9">
        <f>IF(B9&lt;Inputs!$B$16,(Inputs!$B$16-B9)/Inputs!$B$18,0)</f>
      </c>
      <c r="I9">
        <f>MIN(Inputs!$B$17,MAX(0,H9))</f>
      </c>
      <c r="J9">
        <f>IF(AND(D9&gt;=Inputs!$B$10-Inputs!$B$15,E9&gt;=Inputs!$B$10-Inputs!$B$15),1,0)</f>
      </c>
      <c r="K9">
        <f>IF(F9&lt;Inputs!$B$12-Inputs!$B$15,1,0)</f>
      </c>
      <c r="L9">
        <f>(Inputs!$B$10-Inputs!$B$11)-I9</f>
      </c>
      <c r="M9">
        <f>(Inputs!$B$12-Inputs!$B$13)-I9</f>
      </c>
      <c r="N9">
        <f>MIN(Inputs!$B$20,MAX(Inputs!$B$19,IF(J9=0,L9,IF(K9=1,MAX(M9,L9),Inputs!$B$14))))</f>
      </c>
      <c r="O9">
        <f>MIN(Inputs!$B$20,MAX(Inputs!$B$19,IF(B9&gt;=Inputs!$B$9,Inputs!$B$8,Inputs!$B$6-Inputs!$B$7)))</f>
      </c>
      <c r="P9">
        <f>IF(AND(C9=0,G9&lt;Inputs!$B$10-Inputs!$B$23),1,0)</f>
      </c>
      <c r="Q9">
        <f>IF(P9=1,Q8+1,0)</f>
      </c>
      <c r="R9">
        <f>IF(AND(S8=0,S9=1),0,R8+1)</f>
      </c>
      <c r="S9">
        <f>IF(C9=1,0,IF(S8=1,IF(G9&gt;=Inputs!$B$10-Inputs!$B$24,0,1),IF(AND(P9=1,Q9&gt;=CEILING(Inputs!$B$25/Inputs!$B$5,1),R8&gt;=CEILING(Inputs!$B$26/Inputs!$B$5,1)),1,0)))</f>
      </c>
      <c r="T9" t="str">
        <f>IF(C9=1,"saving",IF(S9=1,"fallback_min","comfort"))</f>
      </c>
      <c r="U9">
        <f>MIN(Inputs!$B$20,MAX(Inputs!$B$19,IF(T9="saving",O9,IF(T9="fallback_min",Inputs!$B$19,N9))))</f>
      </c>
      <c r="V9">
        <f>IF(ABS(U9-U8)&gt;=Inputs!$B$21,1,0)</f>
      </c>
      <c r="W9">
        <f>IF(ABS(U9-X8)&gt;=Inputs!$B$22,1,0)</f>
      </c>
      <c r="X9">
        <f>IF(W9=1,U9,X8)</f>
      </c>
      <c r="Y9">
        <f>Inputs!$B$10-G9</f>
      </c>
    </row>
    <row r="10">
      <c r="A10">
        <v>9</v>
      </c>
      <c r="B10">
        <f>Inputs!$B$2 + (A10-1)*(Inputs!$B$3-Inputs!$B$2)/MAX(Inputs!$B$4-1,1)</f>
      </c>
      <c r="C10">
        <f>IFERROR(INDEX(Inputs!$F$2:$F$200,MATCH(A10,Inputs!$E$2:$E$200,0)),Inputs!$B$35)</f>
      </c>
      <c r="D10">
        <f>D9 + Inputs!$B$27*(B10-D9) + Inputs!$B$28*(X9-D9)</f>
      </c>
      <c r="E10">
        <f>E9 + Inputs!$B$27*(B10-E9) + Inputs!$B$28*(X9-E9)</f>
      </c>
      <c r="F10">
        <f>F9 + Inputs!$B$29*(B10-F9) + Inputs!$B$30*(X9-F9)</f>
      </c>
      <c r="G10">
        <f>MIN(D10,E10)</f>
      </c>
      <c r="H10">
        <f>IF(B10&lt;Inputs!$B$16,(Inputs!$B$16-B10)/Inputs!$B$18,0)</f>
      </c>
      <c r="I10">
        <f>MIN(Inputs!$B$17,MAX(0,H10))</f>
      </c>
      <c r="J10">
        <f>IF(AND(D10&gt;=Inputs!$B$10-Inputs!$B$15,E10&gt;=Inputs!$B$10-Inputs!$B$15),1,0)</f>
      </c>
      <c r="K10">
        <f>IF(F10&lt;Inputs!$B$12-Inputs!$B$15,1,0)</f>
      </c>
      <c r="L10">
        <f>(Inputs!$B$10-Inputs!$B$11)-I10</f>
      </c>
      <c r="M10">
        <f>(Inputs!$B$12-Inputs!$B$13)-I10</f>
      </c>
      <c r="N10">
        <f>MIN(Inputs!$B$20,MAX(Inputs!$B$19,IF(J10=0,L10,IF(K10=1,MAX(M10,L10),Inputs!$B$14))))</f>
      </c>
      <c r="O10">
        <f>MIN(Inputs!$B$20,MAX(Inputs!$B$19,IF(B10&gt;=Inputs!$B$9,Inputs!$B$8,Inputs!$B$6-Inputs!$B$7)))</f>
      </c>
      <c r="P10">
        <f>IF(AND(C10=0,G10&lt;Inputs!$B$10-Inputs!$B$23),1,0)</f>
      </c>
      <c r="Q10">
        <f>IF(P10=1,Q9+1,0)</f>
      </c>
      <c r="R10">
        <f>IF(AND(S9=0,S10=1),0,R9+1)</f>
      </c>
      <c r="S10">
        <f>IF(C10=1,0,IF(S9=1,IF(G10&gt;=Inputs!$B$10-Inputs!$B$24,0,1),IF(AND(P10=1,Q10&gt;=CEILING(Inputs!$B$25/Inputs!$B$5,1),R9&gt;=CEILING(Inputs!$B$26/Inputs!$B$5,1)),1,0)))</f>
      </c>
      <c r="T10" t="str">
        <f>IF(C10=1,"saving",IF(S10=1,"fallback_min","comfort"))</f>
      </c>
      <c r="U10">
        <f>MIN(Inputs!$B$20,MAX(Inputs!$B$19,IF(T10="saving",O10,IF(T10="fallback_min",Inputs!$B$19,N10))))</f>
      </c>
      <c r="V10">
        <f>IF(ABS(U10-U9)&gt;=Inputs!$B$21,1,0)</f>
      </c>
      <c r="W10">
        <f>IF(ABS(U10-X9)&gt;=Inputs!$B$22,1,0)</f>
      </c>
      <c r="X10">
        <f>IF(W10=1,U10,X9)</f>
      </c>
      <c r="Y10">
        <f>Inputs!$B$10-G10</f>
      </c>
    </row>
    <row r="11">
      <c r="A11">
        <v>10</v>
      </c>
      <c r="B11">
        <f>Inputs!$B$2 + (A11-1)*(Inputs!$B$3-Inputs!$B$2)/MAX(Inputs!$B$4-1,1)</f>
      </c>
      <c r="C11">
        <f>IFERROR(INDEX(Inputs!$F$2:$F$200,MATCH(A11,Inputs!$E$2:$E$200,0)),Inputs!$B$35)</f>
      </c>
      <c r="D11">
        <f>D10 + Inputs!$B$27*(B11-D10) + Inputs!$B$28*(X10-D10)</f>
      </c>
      <c r="E11">
        <f>E10 + Inputs!$B$27*(B11-E10) + Inputs!$B$28*(X10-E10)</f>
      </c>
      <c r="F11">
        <f>F10 + Inputs!$B$29*(B11-F10) + Inputs!$B$30*(X10-F10)</f>
      </c>
      <c r="G11">
        <f>MIN(D11,E11)</f>
      </c>
      <c r="H11">
        <f>IF(B11&lt;Inputs!$B$16,(Inputs!$B$16-B11)/Inputs!$B$18,0)</f>
      </c>
      <c r="I11">
        <f>MIN(Inputs!$B$17,MAX(0,H11))</f>
      </c>
      <c r="J11">
        <f>IF(AND(D11&gt;=Inputs!$B$10-Inputs!$B$15,E11&gt;=Inputs!$B$10-Inputs!$B$15),1,0)</f>
      </c>
      <c r="K11">
        <f>IF(F11&lt;Inputs!$B$12-Inputs!$B$15,1,0)</f>
      </c>
      <c r="L11">
        <f>(Inputs!$B$10-Inputs!$B$11)-I11</f>
      </c>
      <c r="M11">
        <f>(Inputs!$B$12-Inputs!$B$13)-I11</f>
      </c>
      <c r="N11">
        <f>MIN(Inputs!$B$20,MAX(Inputs!$B$19,IF(J11=0,L11,IF(K11=1,MAX(M11,L11),Inputs!$B$14))))</f>
      </c>
      <c r="O11">
        <f>MIN(Inputs!$B$20,MAX(Inputs!$B$19,IF(B11&gt;=Inputs!$B$9,Inputs!$B$8,Inputs!$B$6-Inputs!$B$7)))</f>
      </c>
      <c r="P11">
        <f>IF(AND(C11=0,G11&lt;Inputs!$B$10-Inputs!$B$23),1,0)</f>
      </c>
      <c r="Q11">
        <f>IF(P11=1,Q10+1,0)</f>
      </c>
      <c r="R11">
        <f>IF(AND(S10=0,S11=1),0,R10+1)</f>
      </c>
      <c r="S11">
        <f>IF(C11=1,0,IF(S10=1,IF(G11&gt;=Inputs!$B$10-Inputs!$B$24,0,1),IF(AND(P11=1,Q11&gt;=CEILING(Inputs!$B$25/Inputs!$B$5,1),R10&gt;=CEILING(Inputs!$B$26/Inputs!$B$5,1)),1,0)))</f>
      </c>
      <c r="T11" t="str">
        <f>IF(C11=1,"saving",IF(S11=1,"fallback_min","comfort"))</f>
      </c>
      <c r="U11">
        <f>MIN(Inputs!$B$20,MAX(Inputs!$B$19,IF(T11="saving",O11,IF(T11="fallback_min",Inputs!$B$19,N11))))</f>
      </c>
      <c r="V11">
        <f>IF(ABS(U11-U10)&gt;=Inputs!$B$21,1,0)</f>
      </c>
      <c r="W11">
        <f>IF(ABS(U11-X10)&gt;=Inputs!$B$22,1,0)</f>
      </c>
      <c r="X11">
        <f>IF(W11=1,U11,X10)</f>
      </c>
      <c r="Y11">
        <f>Inputs!$B$10-G11</f>
      </c>
    </row>
    <row r="12">
      <c r="A12">
        <v>11</v>
      </c>
      <c r="B12">
        <f>Inputs!$B$2 + (A12-1)*(Inputs!$B$3-Inputs!$B$2)/MAX(Inputs!$B$4-1,1)</f>
      </c>
      <c r="C12">
        <f>IFERROR(INDEX(Inputs!$F$2:$F$200,MATCH(A12,Inputs!$E$2:$E$200,0)),Inputs!$B$35)</f>
      </c>
      <c r="D12">
        <f>D11 + Inputs!$B$27*(B12-D11) + Inputs!$B$28*(X11-D11)</f>
      </c>
      <c r="E12">
        <f>E11 + Inputs!$B$27*(B12-E11) + Inputs!$B$28*(X11-E11)</f>
      </c>
      <c r="F12">
        <f>F11 + Inputs!$B$29*(B12-F11) + Inputs!$B$30*(X11-F11)</f>
      </c>
      <c r="G12">
        <f>MIN(D12,E12)</f>
      </c>
      <c r="H12">
        <f>IF(B12&lt;Inputs!$B$16,(Inputs!$B$16-B12)/Inputs!$B$18,0)</f>
      </c>
      <c r="I12">
        <f>MIN(Inputs!$B$17,MAX(0,H12))</f>
      </c>
      <c r="J12">
        <f>IF(AND(D12&gt;=Inputs!$B$10-Inputs!$B$15,E12&gt;=Inputs!$B$10-Inputs!$B$15),1,0)</f>
      </c>
      <c r="K12">
        <f>IF(F12&lt;Inputs!$B$12-Inputs!$B$15,1,0)</f>
      </c>
      <c r="L12">
        <f>(Inputs!$B$10-Inputs!$B$11)-I12</f>
      </c>
      <c r="M12">
        <f>(Inputs!$B$12-Inputs!$B$13)-I12</f>
      </c>
      <c r="N12">
        <f>MIN(Inputs!$B$20,MAX(Inputs!$B$19,IF(J12=0,L12,IF(K12=1,MAX(M12,L12),Inputs!$B$14))))</f>
      </c>
      <c r="O12">
        <f>MIN(Inputs!$B$20,MAX(Inputs!$B$19,IF(B12&gt;=Inputs!$B$9,Inputs!$B$8,Inputs!$B$6-Inputs!$B$7)))</f>
      </c>
      <c r="P12">
        <f>IF(AND(C12=0,G12&lt;Inputs!$B$10-Inputs!$B$23),1,0)</f>
      </c>
      <c r="Q12">
        <f>IF(P12=1,Q11+1,0)</f>
      </c>
      <c r="R12">
        <f>IF(AND(S11=0,S12=1),0,R11+1)</f>
      </c>
      <c r="S12">
        <f>IF(C12=1,0,IF(S11=1,IF(G12&gt;=Inputs!$B$10-Inputs!$B$24,0,1),IF(AND(P12=1,Q12&gt;=CEILING(Inputs!$B$25/Inputs!$B$5,1),R11&gt;=CEILING(Inputs!$B$26/Inputs!$B$5,1)),1,0)))</f>
      </c>
      <c r="T12" t="str">
        <f>IF(C12=1,"saving",IF(S12=1,"fallback_min","comfort"))</f>
      </c>
      <c r="U12">
        <f>MIN(Inputs!$B$20,MAX(Inputs!$B$19,IF(T12="saving",O12,IF(T12="fallback_min",Inputs!$B$19,N12))))</f>
      </c>
      <c r="V12">
        <f>IF(ABS(U12-U11)&gt;=Inputs!$B$21,1,0)</f>
      </c>
      <c r="W12">
        <f>IF(ABS(U12-X11)&gt;=Inputs!$B$22,1,0)</f>
      </c>
      <c r="X12">
        <f>IF(W12=1,U12,X11)</f>
      </c>
      <c r="Y12">
        <f>Inputs!$B$10-G12</f>
      </c>
    </row>
    <row r="13">
      <c r="A13">
        <v>12</v>
      </c>
      <c r="B13">
        <f>Inputs!$B$2 + (A13-1)*(Inputs!$B$3-Inputs!$B$2)/MAX(Inputs!$B$4-1,1)</f>
      </c>
      <c r="C13">
        <f>IFERROR(INDEX(Inputs!$F$2:$F$200,MATCH(A13,Inputs!$E$2:$E$200,0)),Inputs!$B$35)</f>
      </c>
      <c r="D13">
        <f>D12 + Inputs!$B$27*(B13-D12) + Inputs!$B$28*(X12-D12)</f>
      </c>
      <c r="E13">
        <f>E12 + Inputs!$B$27*(B13-E12) + Inputs!$B$28*(X12-E12)</f>
      </c>
      <c r="F13">
        <f>F12 + Inputs!$B$29*(B13-F12) + Inputs!$B$30*(X12-F12)</f>
      </c>
      <c r="G13">
        <f>MIN(D13,E13)</f>
      </c>
      <c r="H13">
        <f>IF(B13&lt;Inputs!$B$16,(Inputs!$B$16-B13)/Inputs!$B$18,0)</f>
      </c>
      <c r="I13">
        <f>MIN(Inputs!$B$17,MAX(0,H13))</f>
      </c>
      <c r="J13">
        <f>IF(AND(D13&gt;=Inputs!$B$10-Inputs!$B$15,E13&gt;=Inputs!$B$10-Inputs!$B$15),1,0)</f>
      </c>
      <c r="K13">
        <f>IF(F13&lt;Inputs!$B$12-Inputs!$B$15,1,0)</f>
      </c>
      <c r="L13">
        <f>(Inputs!$B$10-Inputs!$B$11)-I13</f>
      </c>
      <c r="M13">
        <f>(Inputs!$B$12-Inputs!$B$13)-I13</f>
      </c>
      <c r="N13">
        <f>MIN(Inputs!$B$20,MAX(Inputs!$B$19,IF(J13=0,L13,IF(K13=1,MAX(M13,L13),Inputs!$B$14))))</f>
      </c>
      <c r="O13">
        <f>MIN(Inputs!$B$20,MAX(Inputs!$B$19,IF(B13&gt;=Inputs!$B$9,Inputs!$B$8,Inputs!$B$6-Inputs!$B$7)))</f>
      </c>
      <c r="P13">
        <f>IF(AND(C13=0,G13&lt;Inputs!$B$10-Inputs!$B$23),1,0)</f>
      </c>
      <c r="Q13">
        <f>IF(P13=1,Q12+1,0)</f>
      </c>
      <c r="R13">
        <f>IF(AND(S12=0,S13=1),0,R12+1)</f>
      </c>
      <c r="S13">
        <f>IF(C13=1,0,IF(S12=1,IF(G13&gt;=Inputs!$B$10-Inputs!$B$24,0,1),IF(AND(P13=1,Q13&gt;=CEILING(Inputs!$B$25/Inputs!$B$5,1),R12&gt;=CEILING(Inputs!$B$26/Inputs!$B$5,1)),1,0)))</f>
      </c>
      <c r="T13" t="str">
        <f>IF(C13=1,"saving",IF(S13=1,"fallback_min","comfort"))</f>
      </c>
      <c r="U13">
        <f>MIN(Inputs!$B$20,MAX(Inputs!$B$19,IF(T13="saving",O13,IF(T13="fallback_min",Inputs!$B$19,N13))))</f>
      </c>
      <c r="V13">
        <f>IF(ABS(U13-U12)&gt;=Inputs!$B$21,1,0)</f>
      </c>
      <c r="W13">
        <f>IF(ABS(U13-X12)&gt;=Inputs!$B$22,1,0)</f>
      </c>
      <c r="X13">
        <f>IF(W13=1,U13,X12)</f>
      </c>
      <c r="Y13">
        <f>Inputs!$B$10-G13</f>
      </c>
    </row>
    <row r="14">
      <c r="A14">
        <v>13</v>
      </c>
      <c r="B14">
        <f>Inputs!$B$2 + (A14-1)*(Inputs!$B$3-Inputs!$B$2)/MAX(Inputs!$B$4-1,1)</f>
      </c>
      <c r="C14">
        <f>IFERROR(INDEX(Inputs!$F$2:$F$200,MATCH(A14,Inputs!$E$2:$E$200,0)),Inputs!$B$35)</f>
      </c>
      <c r="D14">
        <f>D13 + Inputs!$B$27*(B14-D13) + Inputs!$B$28*(X13-D13)</f>
      </c>
      <c r="E14">
        <f>E13 + Inputs!$B$27*(B14-E13) + Inputs!$B$28*(X13-E13)</f>
      </c>
      <c r="F14">
        <f>F13 + Inputs!$B$29*(B14-F13) + Inputs!$B$30*(X13-F13)</f>
      </c>
      <c r="G14">
        <f>MIN(D14,E14)</f>
      </c>
      <c r="H14">
        <f>IF(B14&lt;Inputs!$B$16,(Inputs!$B$16-B14)/Inputs!$B$18,0)</f>
      </c>
      <c r="I14">
        <f>MIN(Inputs!$B$17,MAX(0,H14))</f>
      </c>
      <c r="J14">
        <f>IF(AND(D14&gt;=Inputs!$B$10-Inputs!$B$15,E14&gt;=Inputs!$B$10-Inputs!$B$15),1,0)</f>
      </c>
      <c r="K14">
        <f>IF(F14&lt;Inputs!$B$12-Inputs!$B$15,1,0)</f>
      </c>
      <c r="L14">
        <f>(Inputs!$B$10-Inputs!$B$11)-I14</f>
      </c>
      <c r="M14">
        <f>(Inputs!$B$12-Inputs!$B$13)-I14</f>
      </c>
      <c r="N14">
        <f>MIN(Inputs!$B$20,MAX(Inputs!$B$19,IF(J14=0,L14,IF(K14=1,MAX(M14,L14),Inputs!$B$14))))</f>
      </c>
      <c r="O14">
        <f>MIN(Inputs!$B$20,MAX(Inputs!$B$19,IF(B14&gt;=Inputs!$B$9,Inputs!$B$8,Inputs!$B$6-Inputs!$B$7)))</f>
      </c>
      <c r="P14">
        <f>IF(AND(C14=0,G14&lt;Inputs!$B$10-Inputs!$B$23),1,0)</f>
      </c>
      <c r="Q14">
        <f>IF(P14=1,Q13+1,0)</f>
      </c>
      <c r="R14">
        <f>IF(AND(S13=0,S14=1),0,R13+1)</f>
      </c>
      <c r="S14">
        <f>IF(C14=1,0,IF(S13=1,IF(G14&gt;=Inputs!$B$10-Inputs!$B$24,0,1),IF(AND(P14=1,Q14&gt;=CEILING(Inputs!$B$25/Inputs!$B$5,1),R13&gt;=CEILING(Inputs!$B$26/Inputs!$B$5,1)),1,0)))</f>
      </c>
      <c r="T14" t="str">
        <f>IF(C14=1,"saving",IF(S14=1,"fallback_min","comfort"))</f>
      </c>
      <c r="U14">
        <f>MIN(Inputs!$B$20,MAX(Inputs!$B$19,IF(T14="saving",O14,IF(T14="fallback_min",Inputs!$B$19,N14))))</f>
      </c>
      <c r="V14">
        <f>IF(ABS(U14-U13)&gt;=Inputs!$B$21,1,0)</f>
      </c>
      <c r="W14">
        <f>IF(ABS(U14-X13)&gt;=Inputs!$B$22,1,0)</f>
      </c>
      <c r="X14">
        <f>IF(W14=1,U14,X13)</f>
      </c>
      <c r="Y14">
        <f>Inputs!$B$10-G14</f>
      </c>
    </row>
    <row r="15">
      <c r="A15">
        <v>14</v>
      </c>
      <c r="B15">
        <f>Inputs!$B$2 + (A15-1)*(Inputs!$B$3-Inputs!$B$2)/MAX(Inputs!$B$4-1,1)</f>
      </c>
      <c r="C15">
        <f>IFERROR(INDEX(Inputs!$F$2:$F$200,MATCH(A15,Inputs!$E$2:$E$200,0)),Inputs!$B$35)</f>
      </c>
      <c r="D15">
        <f>D14 + Inputs!$B$27*(B15-D14) + Inputs!$B$28*(X14-D14)</f>
      </c>
      <c r="E15">
        <f>E14 + Inputs!$B$27*(B15-E14) + Inputs!$B$28*(X14-E14)</f>
      </c>
      <c r="F15">
        <f>F14 + Inputs!$B$29*(B15-F14) + Inputs!$B$30*(X14-F14)</f>
      </c>
      <c r="G15">
        <f>MIN(D15,E15)</f>
      </c>
      <c r="H15">
        <f>IF(B15&lt;Inputs!$B$16,(Inputs!$B$16-B15)/Inputs!$B$18,0)</f>
      </c>
      <c r="I15">
        <f>MIN(Inputs!$B$17,MAX(0,H15))</f>
      </c>
      <c r="J15">
        <f>IF(AND(D15&gt;=Inputs!$B$10-Inputs!$B$15,E15&gt;=Inputs!$B$10-Inputs!$B$15),1,0)</f>
      </c>
      <c r="K15">
        <f>IF(F15&lt;Inputs!$B$12-Inputs!$B$15,1,0)</f>
      </c>
      <c r="L15">
        <f>(Inputs!$B$10-Inputs!$B$11)-I15</f>
      </c>
      <c r="M15">
        <f>(Inputs!$B$12-Inputs!$B$13)-I15</f>
      </c>
      <c r="N15">
        <f>MIN(Inputs!$B$20,MAX(Inputs!$B$19,IF(J15=0,L15,IF(K15=1,MAX(M15,L15),Inputs!$B$14))))</f>
      </c>
      <c r="O15">
        <f>MIN(Inputs!$B$20,MAX(Inputs!$B$19,IF(B15&gt;=Inputs!$B$9,Inputs!$B$8,Inputs!$B$6-Inputs!$B$7)))</f>
      </c>
      <c r="P15">
        <f>IF(AND(C15=0,G15&lt;Inputs!$B$10-Inputs!$B$23),1,0)</f>
      </c>
      <c r="Q15">
        <f>IF(P15=1,Q14+1,0)</f>
      </c>
      <c r="R15">
        <f>IF(AND(S14=0,S15=1),0,R14+1)</f>
      </c>
      <c r="S15">
        <f>IF(C15=1,0,IF(S14=1,IF(G15&gt;=Inputs!$B$10-Inputs!$B$24,0,1),IF(AND(P15=1,Q15&gt;=CEILING(Inputs!$B$25/Inputs!$B$5,1),R14&gt;=CEILING(Inputs!$B$26/Inputs!$B$5,1)),1,0)))</f>
      </c>
      <c r="T15" t="str">
        <f>IF(C15=1,"saving",IF(S15=1,"fallback_min","comfort"))</f>
      </c>
      <c r="U15">
        <f>MIN(Inputs!$B$20,MAX(Inputs!$B$19,IF(T15="saving",O15,IF(T15="fallback_min",Inputs!$B$19,N15))))</f>
      </c>
      <c r="V15">
        <f>IF(ABS(U15-U14)&gt;=Inputs!$B$21,1,0)</f>
      </c>
      <c r="W15">
        <f>IF(ABS(U15-X14)&gt;=Inputs!$B$22,1,0)</f>
      </c>
      <c r="X15">
        <f>IF(W15=1,U15,X14)</f>
      </c>
      <c r="Y15">
        <f>Inputs!$B$10-G15</f>
      </c>
    </row>
  </sheetData>
  <pageMargins left="0.7" right="0.7" top="0.75" bottom="0.75" header="0.3" footer="0.3"/>
</worksheet>
</file>

<file path=xl/worksheets/sheet7.xml><?xml version="1.0" encoding="utf-8"?>
<worksheet xmlns:r="http://schemas.openxmlformats.org/officeDocument/2006/relationships" xmlns="http://schemas.openxmlformats.org/spreadsheetml/2006/main">
  <dimension ref="A1:A1"/>
  <sheetViews>
    <sheetView workbookViewId="0"/>
  </sheetViews>
  <sheetFormatPr defaultRowHeight="15"/>
  <cols>
    <col min="1" max="1" width="72" customWidth="1"/>
  </cols>
  <sheetData>
    <row r="1">
      <c r="A1" t="inlineStr">
        <is>
          <t>Blockheat dynamic simulation charts (source: Simulation sheet)</t>
        </is>
      </c>
    </row>
  </sheetData>
  <drawing r:id="r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